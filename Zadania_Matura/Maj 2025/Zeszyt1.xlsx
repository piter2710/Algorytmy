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kasprzakedupl-my.sharepoint.com/personal/11564_kasprzak_edu_pl/Documents/"/>
    </mc:Choice>
  </mc:AlternateContent>
  <xr:revisionPtr revIDLastSave="0" documentId="8_{30E23DA0-841A-451F-8323-ACB7088B3044}" xr6:coauthVersionLast="47" xr6:coauthVersionMax="47" xr10:uidLastSave="{00000000-0000-0000-0000-000000000000}"/>
  <bookViews>
    <workbookView xWindow="-120" yWindow="-120" windowWidth="29040" windowHeight="15720" firstSheet="4" activeTab="4" xr2:uid="{CBDEE552-0291-4849-B9A1-8F949D68F269}"/>
  </bookViews>
  <sheets>
    <sheet name="Arkusz3" sheetId="4" r:id="rId1"/>
    <sheet name="Arkusz4" sheetId="5" r:id="rId2"/>
    <sheet name="Arkusz2" sheetId="3" r:id="rId3"/>
    <sheet name="Arkusz5" sheetId="6" r:id="rId4"/>
    <sheet name="martianeum" sheetId="2" r:id="rId5"/>
    <sheet name="Arkusz1" sheetId="1" r:id="rId6"/>
  </sheets>
  <definedNames>
    <definedName name="DaneZewnętrzne_1" localSheetId="4" hidden="1">martianeum!$A$1:$D$2073</definedName>
  </definedNames>
  <calcPr calcId="191028"/>
  <pivotCaches>
    <pivotCache cacheId="363" r:id="rId7"/>
    <pivotCache cacheId="36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G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K2" i="2"/>
  <c r="K3" i="2" l="1"/>
  <c r="F3" i="2" l="1"/>
  <c r="F4" i="2" s="1"/>
  <c r="F5" i="2" s="1"/>
  <c r="F6" i="2" s="1"/>
  <c r="F7" i="2" s="1"/>
  <c r="F8" i="2" s="1"/>
  <c r="G8" i="2" s="1"/>
  <c r="F9" i="2" l="1"/>
  <c r="G9" i="2" s="1"/>
  <c r="F10" i="2" l="1"/>
  <c r="G10" i="2" s="1"/>
  <c r="F11" i="2" l="1"/>
  <c r="G11" i="2" s="1"/>
  <c r="F12" i="2" l="1"/>
  <c r="G12" i="2" s="1"/>
  <c r="F13" i="2" l="1"/>
  <c r="G13" i="2" s="1"/>
  <c r="F14" i="2" l="1"/>
  <c r="G14" i="2" s="1"/>
  <c r="F15" i="2" l="1"/>
  <c r="G15" i="2" s="1"/>
  <c r="F16" i="2" l="1"/>
  <c r="G16" i="2" s="1"/>
  <c r="F17" i="2" l="1"/>
  <c r="G17" i="2" s="1"/>
  <c r="F18" i="2" l="1"/>
  <c r="G18" i="2" s="1"/>
  <c r="F19" i="2" l="1"/>
  <c r="G19" i="2" s="1"/>
  <c r="F20" i="2" l="1"/>
  <c r="G20" i="2" s="1"/>
  <c r="F21" i="2" l="1"/>
  <c r="G21" i="2" s="1"/>
  <c r="F22" i="2" l="1"/>
  <c r="G22" i="2" s="1"/>
  <c r="F23" i="2" l="1"/>
  <c r="G23" i="2" s="1"/>
  <c r="F24" i="2" l="1"/>
  <c r="G24" i="2" s="1"/>
  <c r="F25" i="2" l="1"/>
  <c r="G25" i="2" s="1"/>
  <c r="F26" i="2" l="1"/>
  <c r="G26" i="2" s="1"/>
  <c r="F27" i="2" l="1"/>
  <c r="G27" i="2" s="1"/>
  <c r="F28" i="2" l="1"/>
  <c r="G28" i="2" s="1"/>
  <c r="F29" i="2" l="1"/>
  <c r="G29" i="2" s="1"/>
  <c r="F30" i="2" l="1"/>
  <c r="G30" i="2" s="1"/>
  <c r="F31" i="2" l="1"/>
  <c r="G31" i="2" s="1"/>
  <c r="F32" i="2" l="1"/>
  <c r="G32" i="2" s="1"/>
  <c r="F33" i="2" l="1"/>
  <c r="G33" i="2" s="1"/>
  <c r="F34" i="2" l="1"/>
  <c r="G34" i="2" s="1"/>
  <c r="F35" i="2" l="1"/>
  <c r="G35" i="2" s="1"/>
  <c r="F36" i="2" l="1"/>
  <c r="G36" i="2" s="1"/>
  <c r="F37" i="2" l="1"/>
  <c r="G37" i="2" s="1"/>
  <c r="F38" i="2" l="1"/>
  <c r="G38" i="2" s="1"/>
  <c r="F39" i="2" l="1"/>
  <c r="G39" i="2" s="1"/>
  <c r="F40" i="2" l="1"/>
  <c r="G40" i="2" s="1"/>
  <c r="F41" i="2" l="1"/>
  <c r="G41" i="2" s="1"/>
  <c r="F42" i="2" l="1"/>
  <c r="G42" i="2" s="1"/>
  <c r="F43" i="2" l="1"/>
  <c r="G43" i="2" s="1"/>
  <c r="F44" i="2" l="1"/>
  <c r="G44" i="2" s="1"/>
  <c r="F45" i="2" l="1"/>
  <c r="G45" i="2" s="1"/>
  <c r="F46" i="2" l="1"/>
  <c r="G46" i="2" s="1"/>
  <c r="F47" i="2" l="1"/>
  <c r="G47" i="2" s="1"/>
  <c r="F48" i="2" l="1"/>
  <c r="G48" i="2" s="1"/>
  <c r="F49" i="2" l="1"/>
  <c r="G49" i="2" s="1"/>
  <c r="F50" i="2" l="1"/>
  <c r="G50" i="2" s="1"/>
  <c r="F51" i="2" l="1"/>
  <c r="G51" i="2" s="1"/>
  <c r="F52" i="2" l="1"/>
  <c r="G52" i="2" s="1"/>
  <c r="F53" i="2" l="1"/>
  <c r="G53" i="2" s="1"/>
  <c r="F54" i="2" l="1"/>
  <c r="G54" i="2" s="1"/>
  <c r="F55" i="2" l="1"/>
  <c r="G55" i="2" s="1"/>
  <c r="F56" i="2" l="1"/>
  <c r="G56" i="2" s="1"/>
  <c r="F57" i="2" l="1"/>
  <c r="G57" i="2" s="1"/>
  <c r="F58" i="2" l="1"/>
  <c r="G58" i="2" s="1"/>
  <c r="F59" i="2" l="1"/>
  <c r="G59" i="2" s="1"/>
  <c r="F60" i="2" l="1"/>
  <c r="G60" i="2" s="1"/>
  <c r="F61" i="2" l="1"/>
  <c r="G61" i="2" s="1"/>
  <c r="F62" i="2" l="1"/>
  <c r="G62" i="2" s="1"/>
  <c r="F63" i="2" l="1"/>
  <c r="G63" i="2" s="1"/>
  <c r="F64" i="2" l="1"/>
  <c r="G64" i="2" s="1"/>
  <c r="F65" i="2" l="1"/>
  <c r="G65" i="2" s="1"/>
  <c r="F66" i="2" l="1"/>
  <c r="G66" i="2" s="1"/>
  <c r="F67" i="2" l="1"/>
  <c r="G67" i="2" s="1"/>
  <c r="F68" i="2" l="1"/>
  <c r="G68" i="2" s="1"/>
  <c r="F69" i="2" l="1"/>
  <c r="G69" i="2" s="1"/>
  <c r="F70" i="2" l="1"/>
  <c r="G70" i="2" s="1"/>
  <c r="F71" i="2" l="1"/>
  <c r="G71" i="2" s="1"/>
  <c r="F72" i="2" l="1"/>
  <c r="G72" i="2" s="1"/>
  <c r="F73" i="2" l="1"/>
  <c r="G73" i="2" s="1"/>
  <c r="F74" i="2" l="1"/>
  <c r="G74" i="2" s="1"/>
  <c r="F75" i="2" l="1"/>
  <c r="G75" i="2" s="1"/>
  <c r="F76" i="2" l="1"/>
  <c r="G76" i="2" s="1"/>
  <c r="F77" i="2" l="1"/>
  <c r="G77" i="2" s="1"/>
  <c r="F78" i="2" l="1"/>
  <c r="G78" i="2" s="1"/>
  <c r="F79" i="2" l="1"/>
  <c r="G79" i="2" s="1"/>
  <c r="F80" i="2" l="1"/>
  <c r="G80" i="2" s="1"/>
  <c r="F81" i="2" l="1"/>
  <c r="G81" i="2" s="1"/>
  <c r="F82" i="2" l="1"/>
  <c r="G82" i="2" s="1"/>
  <c r="F83" i="2" l="1"/>
  <c r="G83" i="2" s="1"/>
  <c r="F84" i="2" l="1"/>
  <c r="G84" i="2" s="1"/>
  <c r="F85" i="2" l="1"/>
  <c r="G85" i="2" s="1"/>
  <c r="F86" i="2" l="1"/>
  <c r="G86" i="2" s="1"/>
  <c r="F87" i="2" l="1"/>
  <c r="G87" i="2" s="1"/>
  <c r="F88" i="2" l="1"/>
  <c r="G88" i="2" s="1"/>
  <c r="F89" i="2" l="1"/>
  <c r="G89" i="2" s="1"/>
  <c r="F90" i="2" l="1"/>
  <c r="G90" i="2" s="1"/>
  <c r="F91" i="2" l="1"/>
  <c r="G91" i="2" s="1"/>
  <c r="F92" i="2" l="1"/>
  <c r="G92" i="2" s="1"/>
  <c r="F93" i="2" l="1"/>
  <c r="G93" i="2" s="1"/>
  <c r="F94" i="2" l="1"/>
  <c r="G94" i="2" s="1"/>
  <c r="F95" i="2" l="1"/>
  <c r="G95" i="2" s="1"/>
  <c r="F96" i="2" l="1"/>
  <c r="G96" i="2" s="1"/>
  <c r="F97" i="2" l="1"/>
  <c r="G97" i="2" s="1"/>
  <c r="F98" i="2" l="1"/>
  <c r="G98" i="2" s="1"/>
  <c r="F99" i="2" l="1"/>
  <c r="G99" i="2" s="1"/>
  <c r="F100" i="2" l="1"/>
  <c r="G100" i="2" s="1"/>
  <c r="F101" i="2" l="1"/>
  <c r="G101" i="2" s="1"/>
  <c r="F102" i="2" l="1"/>
  <c r="G102" i="2" s="1"/>
  <c r="F103" i="2" l="1"/>
  <c r="G103" i="2" s="1"/>
  <c r="F104" i="2" l="1"/>
  <c r="G104" i="2" s="1"/>
  <c r="F105" i="2" l="1"/>
  <c r="G105" i="2" s="1"/>
  <c r="F106" i="2" l="1"/>
  <c r="G106" i="2" s="1"/>
  <c r="F107" i="2" l="1"/>
  <c r="G107" i="2" s="1"/>
  <c r="F108" i="2" l="1"/>
  <c r="G108" i="2" s="1"/>
  <c r="F109" i="2" l="1"/>
  <c r="G109" i="2" s="1"/>
  <c r="F110" i="2" l="1"/>
  <c r="G110" i="2" s="1"/>
  <c r="F111" i="2" l="1"/>
  <c r="G111" i="2" s="1"/>
  <c r="F112" i="2" l="1"/>
  <c r="G112" i="2" s="1"/>
  <c r="F113" i="2" l="1"/>
  <c r="G113" i="2" s="1"/>
  <c r="F114" i="2" l="1"/>
  <c r="G114" i="2" s="1"/>
  <c r="F115" i="2" l="1"/>
  <c r="G115" i="2" s="1"/>
  <c r="F116" i="2" l="1"/>
  <c r="G116" i="2" s="1"/>
  <c r="F117" i="2" l="1"/>
  <c r="G117" i="2" s="1"/>
  <c r="F118" i="2" l="1"/>
  <c r="G118" i="2" s="1"/>
  <c r="F119" i="2" l="1"/>
  <c r="G119" i="2" s="1"/>
  <c r="F120" i="2" l="1"/>
  <c r="G120" i="2" s="1"/>
  <c r="F121" i="2" l="1"/>
  <c r="G121" i="2" s="1"/>
  <c r="F122" i="2" l="1"/>
  <c r="G122" i="2" s="1"/>
  <c r="F123" i="2" l="1"/>
  <c r="G123" i="2" s="1"/>
  <c r="F124" i="2" l="1"/>
  <c r="G124" i="2" s="1"/>
  <c r="F125" i="2" l="1"/>
  <c r="G125" i="2" s="1"/>
  <c r="F126" i="2" l="1"/>
  <c r="G126" i="2" s="1"/>
  <c r="F127" i="2" l="1"/>
  <c r="G127" i="2" s="1"/>
  <c r="F128" i="2" l="1"/>
  <c r="G128" i="2" s="1"/>
  <c r="F129" i="2" l="1"/>
  <c r="G129" i="2" s="1"/>
  <c r="F130" i="2" l="1"/>
  <c r="G130" i="2" s="1"/>
  <c r="F131" i="2" l="1"/>
  <c r="G131" i="2" s="1"/>
  <c r="F132" i="2" l="1"/>
  <c r="G132" i="2" s="1"/>
  <c r="F133" i="2" l="1"/>
  <c r="G133" i="2" s="1"/>
  <c r="F134" i="2" l="1"/>
  <c r="G134" i="2" s="1"/>
  <c r="F135" i="2" l="1"/>
  <c r="G135" i="2" s="1"/>
  <c r="F136" i="2" l="1"/>
  <c r="G136" i="2" s="1"/>
  <c r="F137" i="2" l="1"/>
  <c r="G137" i="2" s="1"/>
  <c r="F138" i="2" l="1"/>
  <c r="G138" i="2" s="1"/>
  <c r="F139" i="2" l="1"/>
  <c r="G139" i="2" s="1"/>
  <c r="F140" i="2" l="1"/>
  <c r="G140" i="2" s="1"/>
  <c r="F141" i="2" l="1"/>
  <c r="G141" i="2" s="1"/>
  <c r="F142" i="2" l="1"/>
  <c r="G142" i="2" s="1"/>
  <c r="F143" i="2" l="1"/>
  <c r="G143" i="2" s="1"/>
  <c r="F144" i="2" l="1"/>
  <c r="G144" i="2" s="1"/>
  <c r="F145" i="2" l="1"/>
  <c r="G145" i="2" s="1"/>
  <c r="F146" i="2" l="1"/>
  <c r="G146" i="2" s="1"/>
  <c r="F147" i="2" l="1"/>
  <c r="G147" i="2" s="1"/>
  <c r="F148" i="2" l="1"/>
  <c r="G148" i="2" s="1"/>
  <c r="F149" i="2" l="1"/>
  <c r="G149" i="2" s="1"/>
  <c r="F150" i="2" l="1"/>
  <c r="G150" i="2" s="1"/>
  <c r="F151" i="2" l="1"/>
  <c r="G151" i="2" s="1"/>
  <c r="F152" i="2" l="1"/>
  <c r="G152" i="2" s="1"/>
  <c r="F153" i="2" l="1"/>
  <c r="G153" i="2" s="1"/>
  <c r="F154" i="2" l="1"/>
  <c r="G154" i="2" s="1"/>
  <c r="F155" i="2" l="1"/>
  <c r="G155" i="2" s="1"/>
  <c r="F156" i="2" l="1"/>
  <c r="G156" i="2" s="1"/>
  <c r="F157" i="2" l="1"/>
  <c r="G157" i="2" s="1"/>
  <c r="F158" i="2" l="1"/>
  <c r="G158" i="2" s="1"/>
  <c r="F159" i="2" l="1"/>
  <c r="G159" i="2" s="1"/>
  <c r="F160" i="2" l="1"/>
  <c r="G160" i="2" s="1"/>
  <c r="F161" i="2" l="1"/>
  <c r="G161" i="2" s="1"/>
  <c r="F162" i="2" l="1"/>
  <c r="G162" i="2" s="1"/>
  <c r="F163" i="2" l="1"/>
  <c r="G163" i="2" s="1"/>
  <c r="F164" i="2" l="1"/>
  <c r="G164" i="2" s="1"/>
  <c r="F165" i="2" l="1"/>
  <c r="G165" i="2" s="1"/>
  <c r="F166" i="2" l="1"/>
  <c r="G166" i="2" s="1"/>
  <c r="F167" i="2" l="1"/>
  <c r="G167" i="2" s="1"/>
  <c r="F168" i="2" l="1"/>
  <c r="G168" i="2" s="1"/>
  <c r="F169" i="2" l="1"/>
  <c r="G169" i="2" s="1"/>
  <c r="F170" i="2" l="1"/>
  <c r="G170" i="2" s="1"/>
  <c r="F171" i="2" l="1"/>
  <c r="G171" i="2" s="1"/>
  <c r="F172" i="2" l="1"/>
  <c r="G172" i="2" s="1"/>
  <c r="F173" i="2" l="1"/>
  <c r="G173" i="2" s="1"/>
  <c r="F174" i="2" l="1"/>
  <c r="G174" i="2" s="1"/>
  <c r="F175" i="2" l="1"/>
  <c r="G175" i="2" s="1"/>
  <c r="F176" i="2" l="1"/>
  <c r="G176" i="2" s="1"/>
  <c r="F177" i="2" l="1"/>
  <c r="G177" i="2" s="1"/>
  <c r="F178" i="2" l="1"/>
  <c r="G178" i="2" s="1"/>
  <c r="F179" i="2" l="1"/>
  <c r="G179" i="2" s="1"/>
  <c r="F180" i="2" l="1"/>
  <c r="G180" i="2" s="1"/>
  <c r="F181" i="2" l="1"/>
  <c r="G181" i="2" s="1"/>
  <c r="F182" i="2" l="1"/>
  <c r="G182" i="2" s="1"/>
  <c r="F183" i="2" l="1"/>
  <c r="G183" i="2" s="1"/>
  <c r="F184" i="2" l="1"/>
  <c r="G184" i="2" s="1"/>
  <c r="F185" i="2" l="1"/>
  <c r="G185" i="2" s="1"/>
  <c r="F186" i="2" l="1"/>
  <c r="G186" i="2" s="1"/>
  <c r="F187" i="2" l="1"/>
  <c r="G187" i="2" s="1"/>
  <c r="F188" i="2" l="1"/>
  <c r="G188" i="2" s="1"/>
  <c r="F189" i="2" l="1"/>
  <c r="G189" i="2" s="1"/>
  <c r="F190" i="2" l="1"/>
  <c r="G190" i="2" s="1"/>
  <c r="F191" i="2" l="1"/>
  <c r="G191" i="2" s="1"/>
  <c r="F192" i="2" l="1"/>
  <c r="G192" i="2" s="1"/>
  <c r="F193" i="2" l="1"/>
  <c r="G193" i="2" s="1"/>
  <c r="F194" i="2" l="1"/>
  <c r="G194" i="2" s="1"/>
  <c r="F195" i="2" l="1"/>
  <c r="G195" i="2" s="1"/>
  <c r="F196" i="2" l="1"/>
  <c r="G196" i="2" s="1"/>
  <c r="F197" i="2" l="1"/>
  <c r="G197" i="2" s="1"/>
  <c r="F198" i="2" l="1"/>
  <c r="G198" i="2" s="1"/>
  <c r="F199" i="2" l="1"/>
  <c r="G199" i="2" s="1"/>
  <c r="F200" i="2" l="1"/>
  <c r="G200" i="2" s="1"/>
  <c r="F201" i="2" l="1"/>
  <c r="G201" i="2" s="1"/>
  <c r="F202" i="2" l="1"/>
  <c r="G202" i="2" s="1"/>
  <c r="F203" i="2" l="1"/>
  <c r="G203" i="2" s="1"/>
  <c r="F204" i="2" l="1"/>
  <c r="G204" i="2" s="1"/>
  <c r="F205" i="2" l="1"/>
  <c r="G205" i="2" s="1"/>
  <c r="F206" i="2" l="1"/>
  <c r="G206" i="2" s="1"/>
  <c r="F207" i="2" l="1"/>
  <c r="G207" i="2" s="1"/>
  <c r="F208" i="2" l="1"/>
  <c r="G208" i="2" s="1"/>
  <c r="F209" i="2" l="1"/>
  <c r="G209" i="2" s="1"/>
  <c r="F210" i="2" l="1"/>
  <c r="G210" i="2" s="1"/>
  <c r="F211" i="2" l="1"/>
  <c r="G211" i="2" s="1"/>
  <c r="F212" i="2" l="1"/>
  <c r="G212" i="2" s="1"/>
  <c r="F213" i="2" l="1"/>
  <c r="G213" i="2" s="1"/>
  <c r="F214" i="2" l="1"/>
  <c r="G214" i="2" s="1"/>
  <c r="F215" i="2" l="1"/>
  <c r="G215" i="2" s="1"/>
  <c r="F216" i="2" l="1"/>
  <c r="G216" i="2" s="1"/>
  <c r="F217" i="2" l="1"/>
  <c r="G217" i="2" s="1"/>
  <c r="F218" i="2" l="1"/>
  <c r="G218" i="2" s="1"/>
  <c r="F219" i="2" l="1"/>
  <c r="G219" i="2" s="1"/>
  <c r="F220" i="2" l="1"/>
  <c r="G220" i="2" s="1"/>
  <c r="F221" i="2" l="1"/>
  <c r="G221" i="2" s="1"/>
  <c r="F222" i="2" l="1"/>
  <c r="G222" i="2" s="1"/>
  <c r="F223" i="2" l="1"/>
  <c r="G223" i="2" s="1"/>
  <c r="F224" i="2" l="1"/>
  <c r="G224" i="2" s="1"/>
  <c r="F225" i="2" l="1"/>
  <c r="G225" i="2" s="1"/>
  <c r="F226" i="2" l="1"/>
  <c r="G226" i="2" s="1"/>
  <c r="F227" i="2" l="1"/>
  <c r="G227" i="2" s="1"/>
  <c r="F228" i="2" l="1"/>
  <c r="G228" i="2" s="1"/>
  <c r="F229" i="2" l="1"/>
  <c r="G229" i="2" s="1"/>
  <c r="F230" i="2" l="1"/>
  <c r="G230" i="2" s="1"/>
  <c r="F231" i="2" l="1"/>
  <c r="G231" i="2" s="1"/>
  <c r="F232" i="2" l="1"/>
  <c r="G232" i="2" s="1"/>
  <c r="F233" i="2" l="1"/>
  <c r="G233" i="2" s="1"/>
  <c r="F234" i="2" l="1"/>
  <c r="G234" i="2" s="1"/>
  <c r="F235" i="2" l="1"/>
  <c r="G235" i="2" s="1"/>
  <c r="F236" i="2" l="1"/>
  <c r="G236" i="2" s="1"/>
  <c r="F237" i="2" l="1"/>
  <c r="G237" i="2" s="1"/>
  <c r="F238" i="2" l="1"/>
  <c r="G238" i="2" s="1"/>
  <c r="F239" i="2" l="1"/>
  <c r="G239" i="2" s="1"/>
  <c r="F240" i="2" l="1"/>
  <c r="G240" i="2" s="1"/>
  <c r="F241" i="2" l="1"/>
  <c r="G241" i="2" s="1"/>
  <c r="F242" i="2" l="1"/>
  <c r="G242" i="2" s="1"/>
  <c r="F243" i="2" l="1"/>
  <c r="G243" i="2" s="1"/>
  <c r="F244" i="2" l="1"/>
  <c r="G244" i="2" s="1"/>
  <c r="F245" i="2" l="1"/>
  <c r="G245" i="2" s="1"/>
  <c r="F246" i="2" l="1"/>
  <c r="G246" i="2" s="1"/>
  <c r="F247" i="2" l="1"/>
  <c r="G247" i="2" s="1"/>
  <c r="F248" i="2" l="1"/>
  <c r="G248" i="2" s="1"/>
  <c r="F249" i="2" l="1"/>
  <c r="G249" i="2" s="1"/>
  <c r="F250" i="2" l="1"/>
  <c r="G250" i="2" s="1"/>
  <c r="F251" i="2" l="1"/>
  <c r="G251" i="2" s="1"/>
  <c r="F252" i="2" l="1"/>
  <c r="G252" i="2" s="1"/>
  <c r="F253" i="2" l="1"/>
  <c r="G253" i="2" s="1"/>
  <c r="F254" i="2" l="1"/>
  <c r="G254" i="2" s="1"/>
  <c r="F255" i="2" l="1"/>
  <c r="G255" i="2" s="1"/>
  <c r="F256" i="2" l="1"/>
  <c r="G256" i="2" s="1"/>
  <c r="F257" i="2" l="1"/>
  <c r="G257" i="2" s="1"/>
  <c r="F258" i="2" l="1"/>
  <c r="G258" i="2" s="1"/>
  <c r="F259" i="2" l="1"/>
  <c r="G259" i="2" s="1"/>
  <c r="F260" i="2" l="1"/>
  <c r="G260" i="2" s="1"/>
  <c r="F261" i="2" l="1"/>
  <c r="G261" i="2" s="1"/>
  <c r="F262" i="2" l="1"/>
  <c r="G262" i="2" s="1"/>
  <c r="F263" i="2" l="1"/>
  <c r="G263" i="2" s="1"/>
  <c r="F264" i="2" l="1"/>
  <c r="G264" i="2" s="1"/>
  <c r="F265" i="2" l="1"/>
  <c r="G265" i="2" s="1"/>
  <c r="F266" i="2" l="1"/>
  <c r="G266" i="2" s="1"/>
  <c r="F267" i="2" l="1"/>
  <c r="G267" i="2" s="1"/>
  <c r="F268" i="2" l="1"/>
  <c r="G268" i="2" s="1"/>
  <c r="F269" i="2" l="1"/>
  <c r="G269" i="2" s="1"/>
  <c r="F270" i="2" l="1"/>
  <c r="G270" i="2" s="1"/>
  <c r="F271" i="2" l="1"/>
  <c r="G271" i="2" s="1"/>
  <c r="F272" i="2" l="1"/>
  <c r="G272" i="2" s="1"/>
  <c r="F273" i="2" l="1"/>
  <c r="G273" i="2" s="1"/>
  <c r="F274" i="2" l="1"/>
  <c r="G274" i="2" s="1"/>
  <c r="F275" i="2" l="1"/>
  <c r="G275" i="2" s="1"/>
  <c r="F276" i="2" l="1"/>
  <c r="G276" i="2" s="1"/>
  <c r="F277" i="2" l="1"/>
  <c r="G277" i="2" s="1"/>
  <c r="F278" i="2" l="1"/>
  <c r="G278" i="2" s="1"/>
  <c r="F279" i="2" l="1"/>
  <c r="G279" i="2" s="1"/>
  <c r="F280" i="2" l="1"/>
  <c r="G280" i="2" s="1"/>
  <c r="F281" i="2" l="1"/>
  <c r="G281" i="2" s="1"/>
  <c r="F282" i="2" l="1"/>
  <c r="G282" i="2" s="1"/>
  <c r="F283" i="2" l="1"/>
  <c r="G283" i="2" s="1"/>
  <c r="F284" i="2" l="1"/>
  <c r="G284" i="2" s="1"/>
  <c r="F285" i="2" l="1"/>
  <c r="G285" i="2" s="1"/>
  <c r="F286" i="2" l="1"/>
  <c r="G286" i="2" s="1"/>
  <c r="F287" i="2" l="1"/>
  <c r="G287" i="2" s="1"/>
  <c r="F288" i="2" l="1"/>
  <c r="G288" i="2" s="1"/>
  <c r="F289" i="2" l="1"/>
  <c r="G289" i="2" s="1"/>
  <c r="F290" i="2" l="1"/>
  <c r="G290" i="2" s="1"/>
  <c r="F291" i="2" l="1"/>
  <c r="G291" i="2" s="1"/>
  <c r="F292" i="2" l="1"/>
  <c r="G292" i="2" s="1"/>
  <c r="F293" i="2" l="1"/>
  <c r="G293" i="2" s="1"/>
  <c r="F294" i="2" l="1"/>
  <c r="G294" i="2" s="1"/>
  <c r="F295" i="2" l="1"/>
  <c r="G295" i="2" s="1"/>
  <c r="F296" i="2" l="1"/>
  <c r="G296" i="2" s="1"/>
  <c r="F297" i="2" l="1"/>
  <c r="G297" i="2" s="1"/>
  <c r="F298" i="2" l="1"/>
  <c r="G298" i="2" s="1"/>
  <c r="F299" i="2" l="1"/>
  <c r="G299" i="2" s="1"/>
  <c r="F300" i="2" l="1"/>
  <c r="G300" i="2" s="1"/>
  <c r="F301" i="2" l="1"/>
  <c r="G301" i="2" s="1"/>
  <c r="F302" i="2" l="1"/>
  <c r="G302" i="2" s="1"/>
  <c r="F303" i="2" l="1"/>
  <c r="G303" i="2" s="1"/>
  <c r="F304" i="2" l="1"/>
  <c r="G304" i="2" s="1"/>
  <c r="F305" i="2" l="1"/>
  <c r="G305" i="2" s="1"/>
  <c r="F306" i="2" l="1"/>
  <c r="G306" i="2" s="1"/>
  <c r="F307" i="2" l="1"/>
  <c r="G307" i="2" s="1"/>
  <c r="F308" i="2" l="1"/>
  <c r="G308" i="2" s="1"/>
  <c r="F309" i="2" l="1"/>
  <c r="G309" i="2" s="1"/>
  <c r="F310" i="2" l="1"/>
  <c r="G310" i="2" s="1"/>
  <c r="F311" i="2" l="1"/>
  <c r="G311" i="2" s="1"/>
  <c r="F312" i="2" l="1"/>
  <c r="G312" i="2" s="1"/>
  <c r="F313" i="2" l="1"/>
  <c r="G313" i="2" s="1"/>
  <c r="F314" i="2" l="1"/>
  <c r="G314" i="2" s="1"/>
  <c r="F315" i="2" l="1"/>
  <c r="G315" i="2" s="1"/>
  <c r="F316" i="2" l="1"/>
  <c r="G316" i="2" s="1"/>
  <c r="F317" i="2" l="1"/>
  <c r="G317" i="2" s="1"/>
  <c r="F318" i="2" l="1"/>
  <c r="G318" i="2" s="1"/>
  <c r="F319" i="2" l="1"/>
  <c r="G319" i="2" s="1"/>
  <c r="F320" i="2" l="1"/>
  <c r="G320" i="2" s="1"/>
  <c r="F321" i="2" l="1"/>
  <c r="G321" i="2" s="1"/>
  <c r="F322" i="2" l="1"/>
  <c r="G322" i="2" s="1"/>
  <c r="F323" i="2" l="1"/>
  <c r="G323" i="2" s="1"/>
  <c r="F324" i="2" l="1"/>
  <c r="G324" i="2" s="1"/>
  <c r="F325" i="2" l="1"/>
  <c r="G325" i="2" s="1"/>
  <c r="F326" i="2" l="1"/>
  <c r="G326" i="2" s="1"/>
  <c r="F327" i="2" l="1"/>
  <c r="G327" i="2" s="1"/>
  <c r="F328" i="2" l="1"/>
  <c r="G328" i="2" s="1"/>
  <c r="F329" i="2" l="1"/>
  <c r="G329" i="2" s="1"/>
  <c r="F330" i="2" l="1"/>
  <c r="G330" i="2" s="1"/>
  <c r="F331" i="2" l="1"/>
  <c r="G331" i="2" s="1"/>
  <c r="F332" i="2" l="1"/>
  <c r="G332" i="2" s="1"/>
  <c r="F333" i="2" l="1"/>
  <c r="G333" i="2" s="1"/>
  <c r="F334" i="2" l="1"/>
  <c r="G334" i="2" s="1"/>
  <c r="F335" i="2" l="1"/>
  <c r="G335" i="2" s="1"/>
  <c r="F336" i="2" l="1"/>
  <c r="G336" i="2" s="1"/>
  <c r="F337" i="2" l="1"/>
  <c r="G337" i="2" s="1"/>
  <c r="F338" i="2" l="1"/>
  <c r="G338" i="2" s="1"/>
  <c r="F339" i="2" l="1"/>
  <c r="G339" i="2" s="1"/>
  <c r="F340" i="2" l="1"/>
  <c r="G340" i="2" s="1"/>
  <c r="F341" i="2" l="1"/>
  <c r="G341" i="2" s="1"/>
  <c r="F342" i="2" l="1"/>
  <c r="G342" i="2" s="1"/>
  <c r="F343" i="2" l="1"/>
  <c r="G343" i="2" s="1"/>
  <c r="F344" i="2" l="1"/>
  <c r="G344" i="2" s="1"/>
  <c r="F345" i="2" l="1"/>
  <c r="G345" i="2" s="1"/>
  <c r="F346" i="2" l="1"/>
  <c r="G346" i="2" s="1"/>
  <c r="F347" i="2" l="1"/>
  <c r="G347" i="2" s="1"/>
  <c r="F348" i="2" l="1"/>
  <c r="G348" i="2" s="1"/>
  <c r="F349" i="2" l="1"/>
  <c r="G349" i="2" s="1"/>
  <c r="F350" i="2" l="1"/>
  <c r="G350" i="2" s="1"/>
  <c r="F351" i="2" l="1"/>
  <c r="G351" i="2" s="1"/>
  <c r="F352" i="2" l="1"/>
  <c r="G352" i="2" s="1"/>
  <c r="F353" i="2" l="1"/>
  <c r="G353" i="2" s="1"/>
  <c r="F354" i="2" l="1"/>
  <c r="G354" i="2" s="1"/>
  <c r="F355" i="2" l="1"/>
  <c r="G355" i="2" s="1"/>
  <c r="F356" i="2" l="1"/>
  <c r="G356" i="2" s="1"/>
  <c r="F357" i="2" l="1"/>
  <c r="G357" i="2" s="1"/>
  <c r="F358" i="2" l="1"/>
  <c r="G358" i="2" s="1"/>
  <c r="F359" i="2" l="1"/>
  <c r="G359" i="2" s="1"/>
  <c r="F360" i="2" l="1"/>
  <c r="G360" i="2" s="1"/>
  <c r="F361" i="2" l="1"/>
  <c r="G361" i="2" s="1"/>
  <c r="F362" i="2" l="1"/>
  <c r="G362" i="2" s="1"/>
  <c r="F363" i="2" l="1"/>
  <c r="G363" i="2" s="1"/>
  <c r="F364" i="2" l="1"/>
  <c r="G364" i="2" s="1"/>
  <c r="F365" i="2" l="1"/>
  <c r="G365" i="2" s="1"/>
  <c r="F366" i="2" l="1"/>
  <c r="G366" i="2" s="1"/>
  <c r="F367" i="2" l="1"/>
  <c r="G367" i="2" s="1"/>
  <c r="F368" i="2" l="1"/>
  <c r="G368" i="2" s="1"/>
  <c r="F369" i="2" l="1"/>
  <c r="G369" i="2" s="1"/>
  <c r="F370" i="2" l="1"/>
  <c r="G370" i="2" s="1"/>
  <c r="F371" i="2" l="1"/>
  <c r="G371" i="2" s="1"/>
  <c r="F372" i="2" l="1"/>
  <c r="G372" i="2" s="1"/>
  <c r="F373" i="2" l="1"/>
  <c r="G373" i="2" s="1"/>
  <c r="F374" i="2" l="1"/>
  <c r="G374" i="2" s="1"/>
  <c r="F375" i="2" l="1"/>
  <c r="G375" i="2" s="1"/>
  <c r="F376" i="2" l="1"/>
  <c r="G376" i="2" s="1"/>
  <c r="F377" i="2" l="1"/>
  <c r="G377" i="2" s="1"/>
  <c r="F378" i="2" l="1"/>
  <c r="G378" i="2" s="1"/>
  <c r="F379" i="2" l="1"/>
  <c r="G379" i="2" s="1"/>
  <c r="F380" i="2" l="1"/>
  <c r="G380" i="2" s="1"/>
  <c r="F381" i="2" l="1"/>
  <c r="G381" i="2" s="1"/>
  <c r="F382" i="2" l="1"/>
  <c r="G382" i="2" s="1"/>
  <c r="F383" i="2" l="1"/>
  <c r="G383" i="2" s="1"/>
  <c r="F384" i="2" l="1"/>
  <c r="G384" i="2" s="1"/>
  <c r="F385" i="2" l="1"/>
  <c r="G385" i="2" s="1"/>
  <c r="F386" i="2" l="1"/>
  <c r="G386" i="2" s="1"/>
  <c r="F387" i="2" l="1"/>
  <c r="G387" i="2" s="1"/>
  <c r="F388" i="2" l="1"/>
  <c r="G388" i="2" s="1"/>
  <c r="F389" i="2" l="1"/>
  <c r="G389" i="2" s="1"/>
  <c r="F390" i="2" l="1"/>
  <c r="G390" i="2" s="1"/>
  <c r="F391" i="2" l="1"/>
  <c r="G391" i="2" s="1"/>
  <c r="F392" i="2" l="1"/>
  <c r="G392" i="2" s="1"/>
  <c r="F393" i="2" l="1"/>
  <c r="G393" i="2" s="1"/>
  <c r="F394" i="2" l="1"/>
  <c r="G394" i="2" s="1"/>
  <c r="F395" i="2" l="1"/>
  <c r="G395" i="2" s="1"/>
  <c r="F396" i="2" l="1"/>
  <c r="G396" i="2" s="1"/>
  <c r="F397" i="2" l="1"/>
  <c r="G397" i="2" s="1"/>
  <c r="F398" i="2" l="1"/>
  <c r="G398" i="2" s="1"/>
  <c r="F399" i="2" l="1"/>
  <c r="G399" i="2" s="1"/>
  <c r="F400" i="2" l="1"/>
  <c r="G400" i="2" s="1"/>
  <c r="F401" i="2" l="1"/>
  <c r="G401" i="2" s="1"/>
  <c r="F402" i="2" l="1"/>
  <c r="G402" i="2" s="1"/>
  <c r="F403" i="2" l="1"/>
  <c r="G403" i="2" s="1"/>
  <c r="F404" i="2" l="1"/>
  <c r="G404" i="2" s="1"/>
  <c r="F405" i="2" l="1"/>
  <c r="G405" i="2" s="1"/>
  <c r="F406" i="2" l="1"/>
  <c r="G406" i="2" s="1"/>
  <c r="F407" i="2" l="1"/>
  <c r="G407" i="2" s="1"/>
  <c r="F408" i="2" l="1"/>
  <c r="G408" i="2" s="1"/>
  <c r="F409" i="2" l="1"/>
  <c r="G409" i="2" s="1"/>
  <c r="F410" i="2" l="1"/>
  <c r="G410" i="2" s="1"/>
  <c r="F411" i="2" l="1"/>
  <c r="G411" i="2" s="1"/>
  <c r="F412" i="2" l="1"/>
  <c r="G412" i="2" s="1"/>
  <c r="F413" i="2" l="1"/>
  <c r="G413" i="2" s="1"/>
  <c r="F414" i="2" l="1"/>
  <c r="G414" i="2" s="1"/>
  <c r="F415" i="2" l="1"/>
  <c r="G415" i="2" s="1"/>
  <c r="F416" i="2" l="1"/>
  <c r="G416" i="2" s="1"/>
  <c r="F417" i="2" l="1"/>
  <c r="G417" i="2" s="1"/>
  <c r="F418" i="2" l="1"/>
  <c r="G418" i="2" s="1"/>
  <c r="F419" i="2" l="1"/>
  <c r="G419" i="2" s="1"/>
  <c r="F420" i="2" l="1"/>
  <c r="G420" i="2" s="1"/>
  <c r="F421" i="2" l="1"/>
  <c r="G421" i="2" s="1"/>
  <c r="F422" i="2" l="1"/>
  <c r="G422" i="2" s="1"/>
  <c r="F423" i="2" l="1"/>
  <c r="G423" i="2" s="1"/>
  <c r="F424" i="2" l="1"/>
  <c r="G424" i="2" s="1"/>
  <c r="F425" i="2" l="1"/>
  <c r="G425" i="2" s="1"/>
  <c r="F426" i="2" l="1"/>
  <c r="G426" i="2" s="1"/>
  <c r="F427" i="2" l="1"/>
  <c r="G427" i="2" s="1"/>
  <c r="F428" i="2" l="1"/>
  <c r="G428" i="2" s="1"/>
  <c r="F429" i="2" l="1"/>
  <c r="G429" i="2" s="1"/>
  <c r="F430" i="2" l="1"/>
  <c r="G430" i="2" s="1"/>
  <c r="F431" i="2" l="1"/>
  <c r="G431" i="2" s="1"/>
  <c r="F432" i="2" l="1"/>
  <c r="G432" i="2" s="1"/>
  <c r="F433" i="2" l="1"/>
  <c r="G433" i="2" s="1"/>
  <c r="F434" i="2" l="1"/>
  <c r="G434" i="2" s="1"/>
  <c r="F435" i="2" l="1"/>
  <c r="G435" i="2" s="1"/>
  <c r="F436" i="2" l="1"/>
  <c r="G436" i="2" s="1"/>
  <c r="F437" i="2" l="1"/>
  <c r="G437" i="2" s="1"/>
  <c r="F438" i="2" l="1"/>
  <c r="G438" i="2" s="1"/>
  <c r="F439" i="2" l="1"/>
  <c r="G439" i="2" s="1"/>
  <c r="F440" i="2" l="1"/>
  <c r="G440" i="2" s="1"/>
  <c r="F441" i="2" l="1"/>
  <c r="G441" i="2" s="1"/>
  <c r="F442" i="2" l="1"/>
  <c r="G442" i="2" s="1"/>
  <c r="F443" i="2" l="1"/>
  <c r="G443" i="2" s="1"/>
  <c r="F444" i="2" l="1"/>
  <c r="G444" i="2" s="1"/>
  <c r="F445" i="2" l="1"/>
  <c r="G445" i="2" s="1"/>
  <c r="F446" i="2" l="1"/>
  <c r="G446" i="2" s="1"/>
  <c r="F447" i="2" l="1"/>
  <c r="G447" i="2" s="1"/>
  <c r="F448" i="2" l="1"/>
  <c r="G448" i="2" s="1"/>
  <c r="F449" i="2" l="1"/>
  <c r="G449" i="2" s="1"/>
  <c r="F450" i="2" l="1"/>
  <c r="G450" i="2" s="1"/>
  <c r="F451" i="2" l="1"/>
  <c r="G451" i="2" s="1"/>
  <c r="F452" i="2" l="1"/>
  <c r="G452" i="2" s="1"/>
  <c r="F453" i="2" l="1"/>
  <c r="G453" i="2" s="1"/>
  <c r="F454" i="2" l="1"/>
  <c r="G454" i="2" s="1"/>
  <c r="F455" i="2" l="1"/>
  <c r="G455" i="2" s="1"/>
  <c r="F456" i="2" l="1"/>
  <c r="G456" i="2" s="1"/>
  <c r="F457" i="2" l="1"/>
  <c r="G457" i="2" s="1"/>
  <c r="F458" i="2" l="1"/>
  <c r="G458" i="2" s="1"/>
  <c r="F459" i="2" l="1"/>
  <c r="G459" i="2" s="1"/>
  <c r="F460" i="2" l="1"/>
  <c r="G460" i="2" s="1"/>
  <c r="F461" i="2" l="1"/>
  <c r="G461" i="2" s="1"/>
  <c r="F462" i="2" l="1"/>
  <c r="G462" i="2" s="1"/>
  <c r="F463" i="2" l="1"/>
  <c r="G463" i="2" s="1"/>
  <c r="F464" i="2" l="1"/>
  <c r="G464" i="2" s="1"/>
  <c r="F465" i="2" l="1"/>
  <c r="G465" i="2" s="1"/>
  <c r="F466" i="2" l="1"/>
  <c r="G466" i="2" s="1"/>
  <c r="F467" i="2" l="1"/>
  <c r="G467" i="2" s="1"/>
  <c r="F468" i="2" l="1"/>
  <c r="G468" i="2" s="1"/>
  <c r="F469" i="2" l="1"/>
  <c r="G469" i="2" s="1"/>
  <c r="F470" i="2" l="1"/>
  <c r="G470" i="2" s="1"/>
  <c r="F471" i="2" l="1"/>
  <c r="G471" i="2" s="1"/>
  <c r="F472" i="2" l="1"/>
  <c r="G472" i="2" s="1"/>
  <c r="F473" i="2" l="1"/>
  <c r="G473" i="2" s="1"/>
  <c r="F474" i="2" l="1"/>
  <c r="G474" i="2" s="1"/>
  <c r="F475" i="2" l="1"/>
  <c r="G475" i="2" s="1"/>
  <c r="F476" i="2" l="1"/>
  <c r="G476" i="2" s="1"/>
  <c r="F477" i="2" l="1"/>
  <c r="G477" i="2" s="1"/>
  <c r="F478" i="2" l="1"/>
  <c r="G478" i="2" s="1"/>
  <c r="F479" i="2" l="1"/>
  <c r="G479" i="2" s="1"/>
  <c r="F480" i="2" l="1"/>
  <c r="G480" i="2" s="1"/>
  <c r="F481" i="2" l="1"/>
  <c r="G481" i="2" s="1"/>
  <c r="F482" i="2" l="1"/>
  <c r="G482" i="2" s="1"/>
  <c r="F483" i="2" l="1"/>
  <c r="G483" i="2" s="1"/>
  <c r="F484" i="2" l="1"/>
  <c r="G484" i="2" s="1"/>
  <c r="F485" i="2" l="1"/>
  <c r="G485" i="2" s="1"/>
  <c r="F486" i="2" l="1"/>
  <c r="G486" i="2" s="1"/>
  <c r="F487" i="2" l="1"/>
  <c r="G487" i="2" s="1"/>
  <c r="F488" i="2" l="1"/>
  <c r="G488" i="2" s="1"/>
  <c r="F489" i="2" l="1"/>
  <c r="G489" i="2" s="1"/>
  <c r="F490" i="2" l="1"/>
  <c r="G490" i="2" s="1"/>
  <c r="F491" i="2" l="1"/>
  <c r="G491" i="2" s="1"/>
  <c r="F492" i="2" l="1"/>
  <c r="G492" i="2" s="1"/>
  <c r="F493" i="2" l="1"/>
  <c r="G493" i="2" s="1"/>
  <c r="F494" i="2" l="1"/>
  <c r="G494" i="2" s="1"/>
  <c r="F495" i="2" l="1"/>
  <c r="G495" i="2" s="1"/>
  <c r="F496" i="2" l="1"/>
  <c r="G496" i="2" s="1"/>
  <c r="F497" i="2" l="1"/>
  <c r="G497" i="2" s="1"/>
  <c r="F498" i="2" l="1"/>
  <c r="G498" i="2" s="1"/>
  <c r="F499" i="2" l="1"/>
  <c r="G499" i="2" s="1"/>
  <c r="F500" i="2" l="1"/>
  <c r="G500" i="2" s="1"/>
  <c r="F501" i="2" l="1"/>
  <c r="G501" i="2" s="1"/>
  <c r="F502" i="2" l="1"/>
  <c r="G502" i="2" s="1"/>
  <c r="F503" i="2" l="1"/>
  <c r="G503" i="2" s="1"/>
  <c r="F504" i="2" l="1"/>
  <c r="G504" i="2" s="1"/>
  <c r="F505" i="2" l="1"/>
  <c r="G505" i="2" s="1"/>
  <c r="F506" i="2" l="1"/>
  <c r="G506" i="2" s="1"/>
  <c r="F507" i="2" l="1"/>
  <c r="G507" i="2" s="1"/>
  <c r="F508" i="2" l="1"/>
  <c r="G508" i="2" s="1"/>
  <c r="F509" i="2" l="1"/>
  <c r="G509" i="2" s="1"/>
  <c r="F510" i="2" l="1"/>
  <c r="G510" i="2" s="1"/>
  <c r="F511" i="2" l="1"/>
  <c r="G511" i="2" s="1"/>
  <c r="F512" i="2" l="1"/>
  <c r="G512" i="2" s="1"/>
  <c r="F513" i="2" l="1"/>
  <c r="G513" i="2" s="1"/>
  <c r="F514" i="2" l="1"/>
  <c r="G514" i="2" s="1"/>
  <c r="F515" i="2" l="1"/>
  <c r="G515" i="2" s="1"/>
  <c r="F516" i="2" l="1"/>
  <c r="G516" i="2" s="1"/>
  <c r="F517" i="2" l="1"/>
  <c r="G517" i="2" s="1"/>
  <c r="F518" i="2" l="1"/>
  <c r="G518" i="2" s="1"/>
  <c r="F519" i="2" l="1"/>
  <c r="G519" i="2" s="1"/>
  <c r="F520" i="2" l="1"/>
  <c r="G520" i="2" s="1"/>
  <c r="F521" i="2" l="1"/>
  <c r="G521" i="2" s="1"/>
  <c r="F522" i="2" l="1"/>
  <c r="G522" i="2" s="1"/>
  <c r="F523" i="2" l="1"/>
  <c r="G523" i="2" s="1"/>
  <c r="F524" i="2" l="1"/>
  <c r="G524" i="2" s="1"/>
  <c r="F525" i="2" l="1"/>
  <c r="G525" i="2" s="1"/>
  <c r="F526" i="2" l="1"/>
  <c r="G526" i="2" s="1"/>
  <c r="F527" i="2" l="1"/>
  <c r="G527" i="2" s="1"/>
  <c r="F528" i="2" l="1"/>
  <c r="G528" i="2" s="1"/>
  <c r="F529" i="2" l="1"/>
  <c r="G529" i="2" s="1"/>
  <c r="F530" i="2" l="1"/>
  <c r="G530" i="2" s="1"/>
  <c r="F531" i="2" l="1"/>
  <c r="G531" i="2" s="1"/>
  <c r="F532" i="2" l="1"/>
  <c r="G532" i="2" s="1"/>
  <c r="F533" i="2" l="1"/>
  <c r="G533" i="2" s="1"/>
  <c r="F534" i="2" l="1"/>
  <c r="G534" i="2" s="1"/>
  <c r="F535" i="2" l="1"/>
  <c r="G535" i="2" s="1"/>
  <c r="F536" i="2" l="1"/>
  <c r="G536" i="2" s="1"/>
  <c r="F537" i="2" l="1"/>
  <c r="G537" i="2" s="1"/>
  <c r="F538" i="2" l="1"/>
  <c r="G538" i="2" s="1"/>
  <c r="F539" i="2" l="1"/>
  <c r="G539" i="2" s="1"/>
  <c r="F540" i="2" l="1"/>
  <c r="G540" i="2" s="1"/>
  <c r="F541" i="2" l="1"/>
  <c r="G541" i="2" s="1"/>
  <c r="F542" i="2" l="1"/>
  <c r="G542" i="2" s="1"/>
  <c r="F543" i="2" l="1"/>
  <c r="G543" i="2" s="1"/>
  <c r="F544" i="2" l="1"/>
  <c r="G544" i="2" s="1"/>
  <c r="F545" i="2" l="1"/>
  <c r="G545" i="2" s="1"/>
  <c r="F546" i="2" l="1"/>
  <c r="G546" i="2" s="1"/>
  <c r="F547" i="2" l="1"/>
  <c r="G547" i="2" s="1"/>
  <c r="F548" i="2" l="1"/>
  <c r="G548" i="2" s="1"/>
  <c r="F549" i="2" l="1"/>
  <c r="G549" i="2" s="1"/>
  <c r="F550" i="2" l="1"/>
  <c r="G550" i="2" s="1"/>
  <c r="F551" i="2" l="1"/>
  <c r="G551" i="2" s="1"/>
  <c r="F552" i="2" l="1"/>
  <c r="G552" i="2" s="1"/>
  <c r="F553" i="2" l="1"/>
  <c r="G553" i="2" s="1"/>
  <c r="F554" i="2" l="1"/>
  <c r="G554" i="2" s="1"/>
  <c r="F555" i="2" l="1"/>
  <c r="G555" i="2" s="1"/>
  <c r="F556" i="2" l="1"/>
  <c r="G556" i="2" s="1"/>
  <c r="F557" i="2" l="1"/>
  <c r="G557" i="2" s="1"/>
  <c r="F558" i="2" l="1"/>
  <c r="G558" i="2" s="1"/>
  <c r="F559" i="2" l="1"/>
  <c r="G559" i="2" s="1"/>
  <c r="F560" i="2" l="1"/>
  <c r="G560" i="2" s="1"/>
  <c r="F561" i="2" l="1"/>
  <c r="G561" i="2" s="1"/>
  <c r="F562" i="2" l="1"/>
  <c r="G562" i="2" s="1"/>
  <c r="F563" i="2" l="1"/>
  <c r="G563" i="2" s="1"/>
  <c r="F564" i="2" l="1"/>
  <c r="G564" i="2" s="1"/>
  <c r="F565" i="2" l="1"/>
  <c r="G565" i="2" s="1"/>
  <c r="F566" i="2" l="1"/>
  <c r="G566" i="2" s="1"/>
  <c r="F567" i="2" l="1"/>
  <c r="G567" i="2" s="1"/>
  <c r="F568" i="2" l="1"/>
  <c r="G568" i="2" s="1"/>
  <c r="F569" i="2" l="1"/>
  <c r="G569" i="2" s="1"/>
  <c r="F570" i="2" l="1"/>
  <c r="G570" i="2" s="1"/>
  <c r="F571" i="2" l="1"/>
  <c r="G571" i="2" s="1"/>
  <c r="F572" i="2" l="1"/>
  <c r="G572" i="2" s="1"/>
  <c r="F573" i="2" l="1"/>
  <c r="G573" i="2" s="1"/>
  <c r="F574" i="2" l="1"/>
  <c r="G574" i="2" s="1"/>
  <c r="F575" i="2" l="1"/>
  <c r="G575" i="2" s="1"/>
  <c r="F576" i="2" l="1"/>
  <c r="G576" i="2" s="1"/>
  <c r="F577" i="2" l="1"/>
  <c r="G577" i="2" s="1"/>
  <c r="F578" i="2" l="1"/>
  <c r="G578" i="2" s="1"/>
  <c r="F579" i="2" l="1"/>
  <c r="G579" i="2" s="1"/>
  <c r="F580" i="2" l="1"/>
  <c r="G580" i="2" s="1"/>
  <c r="F581" i="2" l="1"/>
  <c r="G581" i="2" s="1"/>
  <c r="F582" i="2" l="1"/>
  <c r="G582" i="2" s="1"/>
  <c r="F583" i="2" l="1"/>
  <c r="G583" i="2" s="1"/>
  <c r="F584" i="2" l="1"/>
  <c r="G584" i="2" s="1"/>
  <c r="F585" i="2" l="1"/>
  <c r="G585" i="2" s="1"/>
  <c r="F586" i="2" l="1"/>
  <c r="G586" i="2" s="1"/>
  <c r="F587" i="2" l="1"/>
  <c r="G587" i="2" s="1"/>
  <c r="F588" i="2" l="1"/>
  <c r="G588" i="2" s="1"/>
  <c r="F589" i="2" l="1"/>
  <c r="G589" i="2" s="1"/>
  <c r="F590" i="2" l="1"/>
  <c r="G590" i="2" s="1"/>
  <c r="F591" i="2" l="1"/>
  <c r="G591" i="2" s="1"/>
  <c r="F592" i="2" l="1"/>
  <c r="G592" i="2" s="1"/>
  <c r="F593" i="2" l="1"/>
  <c r="G593" i="2" s="1"/>
  <c r="F594" i="2" l="1"/>
  <c r="G594" i="2" s="1"/>
  <c r="F595" i="2" l="1"/>
  <c r="G595" i="2" s="1"/>
  <c r="F596" i="2" l="1"/>
  <c r="G596" i="2" s="1"/>
  <c r="F597" i="2" l="1"/>
  <c r="G597" i="2" s="1"/>
  <c r="F598" i="2" l="1"/>
  <c r="G598" i="2" s="1"/>
  <c r="F599" i="2" l="1"/>
  <c r="G599" i="2" s="1"/>
  <c r="F600" i="2" l="1"/>
  <c r="G600" i="2" s="1"/>
  <c r="F601" i="2" l="1"/>
  <c r="G601" i="2" s="1"/>
  <c r="F602" i="2" l="1"/>
  <c r="G602" i="2" s="1"/>
  <c r="F603" i="2" l="1"/>
  <c r="G603" i="2" s="1"/>
  <c r="F604" i="2" l="1"/>
  <c r="G604" i="2" s="1"/>
  <c r="F605" i="2" l="1"/>
  <c r="G605" i="2" s="1"/>
  <c r="F606" i="2" l="1"/>
  <c r="G606" i="2" s="1"/>
  <c r="F607" i="2" l="1"/>
  <c r="G607" i="2" s="1"/>
  <c r="F608" i="2" l="1"/>
  <c r="G608" i="2" s="1"/>
  <c r="F609" i="2" l="1"/>
  <c r="G609" i="2" s="1"/>
  <c r="F610" i="2" l="1"/>
  <c r="G610" i="2" s="1"/>
  <c r="F611" i="2" l="1"/>
  <c r="G611" i="2" s="1"/>
  <c r="F612" i="2" l="1"/>
  <c r="G612" i="2" s="1"/>
  <c r="F613" i="2" l="1"/>
  <c r="G613" i="2" s="1"/>
  <c r="F614" i="2" l="1"/>
  <c r="G614" i="2" s="1"/>
  <c r="F615" i="2" l="1"/>
  <c r="G615" i="2" s="1"/>
  <c r="F616" i="2" l="1"/>
  <c r="G616" i="2" s="1"/>
  <c r="F617" i="2" l="1"/>
  <c r="G617" i="2" s="1"/>
  <c r="F618" i="2" l="1"/>
  <c r="G618" i="2" s="1"/>
  <c r="F619" i="2" l="1"/>
  <c r="G619" i="2" s="1"/>
  <c r="F620" i="2" l="1"/>
  <c r="G620" i="2" s="1"/>
  <c r="F621" i="2" l="1"/>
  <c r="G621" i="2" s="1"/>
  <c r="F622" i="2" l="1"/>
  <c r="G622" i="2" s="1"/>
  <c r="F623" i="2" l="1"/>
  <c r="G623" i="2" s="1"/>
  <c r="F624" i="2" l="1"/>
  <c r="G624" i="2" s="1"/>
  <c r="F625" i="2" l="1"/>
  <c r="G625" i="2" s="1"/>
  <c r="F626" i="2" l="1"/>
  <c r="G626" i="2" s="1"/>
  <c r="F627" i="2" l="1"/>
  <c r="G627" i="2" s="1"/>
  <c r="F628" i="2" l="1"/>
  <c r="G628" i="2" s="1"/>
  <c r="F629" i="2" l="1"/>
  <c r="G629" i="2" s="1"/>
  <c r="F630" i="2" l="1"/>
  <c r="G630" i="2" s="1"/>
  <c r="F631" i="2" l="1"/>
  <c r="G631" i="2" s="1"/>
  <c r="F632" i="2" l="1"/>
  <c r="G632" i="2" s="1"/>
  <c r="F633" i="2" l="1"/>
  <c r="G633" i="2" s="1"/>
  <c r="F634" i="2" l="1"/>
  <c r="G634" i="2" s="1"/>
  <c r="F635" i="2" l="1"/>
  <c r="G635" i="2" s="1"/>
  <c r="F636" i="2" l="1"/>
  <c r="G636" i="2" s="1"/>
  <c r="F637" i="2" l="1"/>
  <c r="G637" i="2" s="1"/>
  <c r="F638" i="2" l="1"/>
  <c r="G638" i="2" s="1"/>
  <c r="F639" i="2" l="1"/>
  <c r="G639" i="2" s="1"/>
  <c r="F640" i="2" l="1"/>
  <c r="G640" i="2" s="1"/>
  <c r="F641" i="2" l="1"/>
  <c r="G641" i="2" s="1"/>
  <c r="F642" i="2" l="1"/>
  <c r="G642" i="2" s="1"/>
  <c r="F643" i="2" l="1"/>
  <c r="G643" i="2" s="1"/>
  <c r="F644" i="2" l="1"/>
  <c r="G644" i="2" s="1"/>
  <c r="F645" i="2" l="1"/>
  <c r="G645" i="2" s="1"/>
  <c r="F646" i="2" l="1"/>
  <c r="G646" i="2" s="1"/>
  <c r="F647" i="2" l="1"/>
  <c r="G647" i="2" s="1"/>
  <c r="F648" i="2" l="1"/>
  <c r="G648" i="2" s="1"/>
  <c r="F649" i="2" l="1"/>
  <c r="G649" i="2" s="1"/>
  <c r="F650" i="2" l="1"/>
  <c r="G650" i="2" s="1"/>
  <c r="F651" i="2" l="1"/>
  <c r="G651" i="2" s="1"/>
  <c r="F652" i="2" l="1"/>
  <c r="G652" i="2" s="1"/>
  <c r="F653" i="2" l="1"/>
  <c r="G653" i="2" s="1"/>
  <c r="F654" i="2" l="1"/>
  <c r="G654" i="2" s="1"/>
  <c r="F655" i="2" l="1"/>
  <c r="G655" i="2" s="1"/>
  <c r="F656" i="2" l="1"/>
  <c r="G656" i="2" s="1"/>
  <c r="F657" i="2" l="1"/>
  <c r="G657" i="2" s="1"/>
  <c r="F658" i="2" l="1"/>
  <c r="G658" i="2" s="1"/>
  <c r="F659" i="2" l="1"/>
  <c r="G659" i="2" s="1"/>
  <c r="F660" i="2" l="1"/>
  <c r="G660" i="2" s="1"/>
  <c r="F661" i="2" l="1"/>
  <c r="G661" i="2" s="1"/>
  <c r="F662" i="2" l="1"/>
  <c r="G662" i="2" s="1"/>
  <c r="F663" i="2" l="1"/>
  <c r="G663" i="2" s="1"/>
  <c r="F664" i="2" l="1"/>
  <c r="G664" i="2" s="1"/>
  <c r="F665" i="2" l="1"/>
  <c r="G665" i="2" s="1"/>
  <c r="F666" i="2" l="1"/>
  <c r="G666" i="2" s="1"/>
  <c r="F667" i="2" l="1"/>
  <c r="G667" i="2" s="1"/>
  <c r="F668" i="2" l="1"/>
  <c r="G668" i="2" s="1"/>
  <c r="F669" i="2" l="1"/>
  <c r="G669" i="2" s="1"/>
  <c r="F670" i="2" l="1"/>
  <c r="G670" i="2" s="1"/>
  <c r="F671" i="2" l="1"/>
  <c r="G671" i="2" s="1"/>
  <c r="F672" i="2" l="1"/>
  <c r="G672" i="2" s="1"/>
  <c r="F673" i="2" l="1"/>
  <c r="G673" i="2" s="1"/>
  <c r="F674" i="2" l="1"/>
  <c r="G674" i="2" s="1"/>
  <c r="F675" i="2" l="1"/>
  <c r="G675" i="2" s="1"/>
  <c r="F676" i="2" l="1"/>
  <c r="G676" i="2" s="1"/>
  <c r="F677" i="2" l="1"/>
  <c r="G677" i="2" s="1"/>
  <c r="F678" i="2" l="1"/>
  <c r="G678" i="2" s="1"/>
  <c r="F679" i="2" l="1"/>
  <c r="G679" i="2" s="1"/>
  <c r="F680" i="2" l="1"/>
  <c r="G680" i="2" s="1"/>
  <c r="F681" i="2" l="1"/>
  <c r="G681" i="2" s="1"/>
  <c r="F682" i="2" l="1"/>
  <c r="G682" i="2" s="1"/>
  <c r="F683" i="2" l="1"/>
  <c r="G683" i="2" s="1"/>
  <c r="F684" i="2" l="1"/>
  <c r="G684" i="2" s="1"/>
  <c r="F685" i="2" l="1"/>
  <c r="G685" i="2" s="1"/>
  <c r="F686" i="2" l="1"/>
  <c r="G686" i="2" s="1"/>
  <c r="F687" i="2" l="1"/>
  <c r="G687" i="2" s="1"/>
  <c r="F688" i="2" l="1"/>
  <c r="G688" i="2" s="1"/>
  <c r="F689" i="2" l="1"/>
  <c r="G689" i="2" s="1"/>
  <c r="F690" i="2" l="1"/>
  <c r="G690" i="2" s="1"/>
  <c r="F691" i="2" l="1"/>
  <c r="G691" i="2" s="1"/>
  <c r="F692" i="2" l="1"/>
  <c r="G692" i="2" s="1"/>
  <c r="F693" i="2" l="1"/>
  <c r="G693" i="2" s="1"/>
  <c r="F694" i="2" l="1"/>
  <c r="G694" i="2" s="1"/>
  <c r="F695" i="2" l="1"/>
  <c r="G695" i="2" s="1"/>
  <c r="F696" i="2" l="1"/>
  <c r="G696" i="2" s="1"/>
  <c r="F697" i="2" l="1"/>
  <c r="G697" i="2" s="1"/>
  <c r="F698" i="2" l="1"/>
  <c r="G698" i="2" s="1"/>
  <c r="F699" i="2" l="1"/>
  <c r="G699" i="2" s="1"/>
  <c r="F700" i="2" l="1"/>
  <c r="G700" i="2" s="1"/>
  <c r="F701" i="2" l="1"/>
  <c r="G701" i="2" s="1"/>
  <c r="F702" i="2" l="1"/>
  <c r="G702" i="2" s="1"/>
  <c r="F703" i="2" l="1"/>
  <c r="G703" i="2" s="1"/>
  <c r="F704" i="2" l="1"/>
  <c r="G704" i="2" s="1"/>
  <c r="F705" i="2" l="1"/>
  <c r="G705" i="2" s="1"/>
  <c r="F706" i="2" l="1"/>
  <c r="G706" i="2" s="1"/>
  <c r="F707" i="2" l="1"/>
  <c r="G707" i="2" s="1"/>
  <c r="F708" i="2" l="1"/>
  <c r="G708" i="2" s="1"/>
  <c r="F709" i="2" l="1"/>
  <c r="G709" i="2" s="1"/>
  <c r="F710" i="2" l="1"/>
  <c r="G710" i="2" s="1"/>
  <c r="F711" i="2" l="1"/>
  <c r="G711" i="2" s="1"/>
  <c r="F712" i="2" l="1"/>
  <c r="G712" i="2" s="1"/>
  <c r="F713" i="2" l="1"/>
  <c r="G713" i="2" s="1"/>
  <c r="F714" i="2" l="1"/>
  <c r="G714" i="2" s="1"/>
  <c r="F715" i="2" l="1"/>
  <c r="G715" i="2" s="1"/>
  <c r="F716" i="2" l="1"/>
  <c r="G716" i="2" s="1"/>
  <c r="F717" i="2" l="1"/>
  <c r="G717" i="2" s="1"/>
  <c r="F718" i="2" l="1"/>
  <c r="G718" i="2" s="1"/>
  <c r="F719" i="2" l="1"/>
  <c r="G719" i="2" s="1"/>
  <c r="F720" i="2" l="1"/>
  <c r="G720" i="2" s="1"/>
  <c r="F721" i="2" l="1"/>
  <c r="G721" i="2" s="1"/>
  <c r="F722" i="2" l="1"/>
  <c r="G722" i="2" s="1"/>
  <c r="F723" i="2" l="1"/>
  <c r="G723" i="2" s="1"/>
  <c r="F724" i="2" l="1"/>
  <c r="G724" i="2" s="1"/>
  <c r="F725" i="2" l="1"/>
  <c r="G725" i="2" s="1"/>
  <c r="F726" i="2" l="1"/>
  <c r="G726" i="2" s="1"/>
  <c r="F727" i="2" l="1"/>
  <c r="G727" i="2" s="1"/>
  <c r="F728" i="2" l="1"/>
  <c r="G728" i="2" s="1"/>
  <c r="F729" i="2" l="1"/>
  <c r="G729" i="2" s="1"/>
  <c r="F730" i="2" l="1"/>
  <c r="G730" i="2" s="1"/>
  <c r="F731" i="2" l="1"/>
  <c r="G731" i="2" s="1"/>
  <c r="F732" i="2" l="1"/>
  <c r="G732" i="2" s="1"/>
  <c r="F733" i="2" l="1"/>
  <c r="G733" i="2" s="1"/>
  <c r="F734" i="2" l="1"/>
  <c r="G734" i="2" s="1"/>
  <c r="F735" i="2" l="1"/>
  <c r="G735" i="2" s="1"/>
  <c r="F736" i="2" l="1"/>
  <c r="G736" i="2" s="1"/>
  <c r="F737" i="2" l="1"/>
  <c r="G737" i="2" s="1"/>
  <c r="F738" i="2" l="1"/>
  <c r="G738" i="2" s="1"/>
  <c r="F739" i="2" l="1"/>
  <c r="G739" i="2" s="1"/>
  <c r="F740" i="2" l="1"/>
  <c r="G740" i="2" s="1"/>
  <c r="F741" i="2" l="1"/>
  <c r="G741" i="2" s="1"/>
  <c r="F742" i="2" l="1"/>
  <c r="G742" i="2" s="1"/>
  <c r="F743" i="2" l="1"/>
  <c r="G743" i="2" s="1"/>
  <c r="F744" i="2" l="1"/>
  <c r="G744" i="2" s="1"/>
  <c r="F745" i="2" l="1"/>
  <c r="G745" i="2" s="1"/>
  <c r="F746" i="2" l="1"/>
  <c r="G746" i="2" s="1"/>
  <c r="F747" i="2" l="1"/>
  <c r="G747" i="2" s="1"/>
  <c r="F748" i="2" l="1"/>
  <c r="G748" i="2" s="1"/>
  <c r="F749" i="2" l="1"/>
  <c r="G749" i="2" s="1"/>
  <c r="F750" i="2" l="1"/>
  <c r="G750" i="2" s="1"/>
  <c r="F751" i="2" l="1"/>
  <c r="G751" i="2" s="1"/>
  <c r="F752" i="2" l="1"/>
  <c r="G752" i="2" s="1"/>
  <c r="F753" i="2" l="1"/>
  <c r="G753" i="2" s="1"/>
  <c r="F754" i="2" l="1"/>
  <c r="G754" i="2" s="1"/>
  <c r="F755" i="2" l="1"/>
  <c r="G755" i="2" s="1"/>
  <c r="F756" i="2" l="1"/>
  <c r="G756" i="2" s="1"/>
  <c r="F757" i="2" l="1"/>
  <c r="G757" i="2" s="1"/>
  <c r="F758" i="2" l="1"/>
  <c r="G758" i="2" s="1"/>
  <c r="F759" i="2" l="1"/>
  <c r="G759" i="2" s="1"/>
  <c r="F760" i="2" l="1"/>
  <c r="G760" i="2" s="1"/>
  <c r="F761" i="2" l="1"/>
  <c r="G761" i="2" s="1"/>
  <c r="F762" i="2" l="1"/>
  <c r="G762" i="2" s="1"/>
  <c r="F763" i="2" l="1"/>
  <c r="G763" i="2" s="1"/>
  <c r="F764" i="2" l="1"/>
  <c r="G764" i="2" s="1"/>
  <c r="F765" i="2" l="1"/>
  <c r="G765" i="2" s="1"/>
  <c r="F766" i="2" l="1"/>
  <c r="G766" i="2" s="1"/>
  <c r="F767" i="2" l="1"/>
  <c r="G767" i="2" s="1"/>
  <c r="F768" i="2" l="1"/>
  <c r="G768" i="2" s="1"/>
  <c r="F769" i="2" l="1"/>
  <c r="G769" i="2" s="1"/>
  <c r="F770" i="2" l="1"/>
  <c r="G770" i="2" s="1"/>
  <c r="F771" i="2" l="1"/>
  <c r="G771" i="2" s="1"/>
  <c r="F772" i="2" l="1"/>
  <c r="G772" i="2" s="1"/>
  <c r="F773" i="2" l="1"/>
  <c r="G773" i="2" s="1"/>
  <c r="F774" i="2" l="1"/>
  <c r="G774" i="2" s="1"/>
  <c r="F775" i="2" l="1"/>
  <c r="G775" i="2" s="1"/>
  <c r="F776" i="2" l="1"/>
  <c r="G776" i="2" s="1"/>
  <c r="F777" i="2" l="1"/>
  <c r="G777" i="2" s="1"/>
  <c r="F778" i="2" l="1"/>
  <c r="G778" i="2" s="1"/>
  <c r="F779" i="2" l="1"/>
  <c r="G779" i="2" s="1"/>
  <c r="F780" i="2" l="1"/>
  <c r="G780" i="2" s="1"/>
  <c r="F781" i="2" l="1"/>
  <c r="G781" i="2" s="1"/>
  <c r="F782" i="2" l="1"/>
  <c r="G782" i="2" s="1"/>
  <c r="F783" i="2" l="1"/>
  <c r="G783" i="2" s="1"/>
  <c r="F784" i="2" l="1"/>
  <c r="G784" i="2" s="1"/>
  <c r="F785" i="2" l="1"/>
  <c r="G785" i="2" s="1"/>
  <c r="F786" i="2" l="1"/>
  <c r="G786" i="2" s="1"/>
  <c r="F787" i="2" l="1"/>
  <c r="G787" i="2" s="1"/>
  <c r="F788" i="2" l="1"/>
  <c r="G788" i="2" s="1"/>
  <c r="F789" i="2" l="1"/>
  <c r="G789" i="2" s="1"/>
  <c r="F790" i="2" l="1"/>
  <c r="G790" i="2" s="1"/>
  <c r="F791" i="2" l="1"/>
  <c r="G791" i="2" s="1"/>
  <c r="F792" i="2" l="1"/>
  <c r="G792" i="2" s="1"/>
  <c r="F793" i="2" l="1"/>
  <c r="G793" i="2" s="1"/>
  <c r="F794" i="2" l="1"/>
  <c r="G794" i="2" s="1"/>
  <c r="F795" i="2" l="1"/>
  <c r="G795" i="2" s="1"/>
  <c r="F796" i="2" l="1"/>
  <c r="G796" i="2" s="1"/>
  <c r="F797" i="2" l="1"/>
  <c r="G797" i="2" s="1"/>
  <c r="F798" i="2" l="1"/>
  <c r="G798" i="2" s="1"/>
  <c r="F799" i="2" l="1"/>
  <c r="G799" i="2" s="1"/>
  <c r="F800" i="2" l="1"/>
  <c r="G800" i="2" s="1"/>
  <c r="F801" i="2" l="1"/>
  <c r="G801" i="2" s="1"/>
  <c r="F802" i="2" l="1"/>
  <c r="G802" i="2" s="1"/>
  <c r="F803" i="2" l="1"/>
  <c r="G803" i="2" s="1"/>
  <c r="F804" i="2" l="1"/>
  <c r="G804" i="2" s="1"/>
  <c r="F805" i="2" l="1"/>
  <c r="G805" i="2" s="1"/>
  <c r="F806" i="2" l="1"/>
  <c r="G806" i="2" s="1"/>
  <c r="F807" i="2" l="1"/>
  <c r="G807" i="2" s="1"/>
  <c r="F808" i="2" l="1"/>
  <c r="G808" i="2" s="1"/>
  <c r="F809" i="2" l="1"/>
  <c r="G809" i="2" s="1"/>
  <c r="F810" i="2" l="1"/>
  <c r="G810" i="2" s="1"/>
  <c r="F811" i="2" l="1"/>
  <c r="G811" i="2" s="1"/>
  <c r="F812" i="2" l="1"/>
  <c r="G812" i="2" s="1"/>
  <c r="F813" i="2" l="1"/>
  <c r="G813" i="2" s="1"/>
  <c r="F814" i="2" l="1"/>
  <c r="G814" i="2" s="1"/>
  <c r="F815" i="2" l="1"/>
  <c r="G815" i="2" s="1"/>
  <c r="F816" i="2" l="1"/>
  <c r="G816" i="2" s="1"/>
  <c r="F817" i="2" l="1"/>
  <c r="G817" i="2" s="1"/>
  <c r="F818" i="2" l="1"/>
  <c r="G818" i="2" s="1"/>
  <c r="F819" i="2" l="1"/>
  <c r="G819" i="2" s="1"/>
  <c r="F820" i="2" l="1"/>
  <c r="G820" i="2" s="1"/>
  <c r="F821" i="2" l="1"/>
  <c r="G821" i="2" s="1"/>
  <c r="F822" i="2" l="1"/>
  <c r="G822" i="2" s="1"/>
  <c r="F823" i="2" l="1"/>
  <c r="G823" i="2" s="1"/>
  <c r="F824" i="2" l="1"/>
  <c r="G824" i="2" s="1"/>
  <c r="F825" i="2" l="1"/>
  <c r="G825" i="2" s="1"/>
  <c r="F826" i="2" l="1"/>
  <c r="G826" i="2" s="1"/>
  <c r="F827" i="2" l="1"/>
  <c r="G827" i="2" s="1"/>
  <c r="F828" i="2" l="1"/>
  <c r="G828" i="2" s="1"/>
  <c r="F829" i="2" l="1"/>
  <c r="G829" i="2" s="1"/>
  <c r="F830" i="2" l="1"/>
  <c r="G830" i="2" s="1"/>
  <c r="F831" i="2" l="1"/>
  <c r="G831" i="2" s="1"/>
  <c r="F832" i="2" l="1"/>
  <c r="G832" i="2" s="1"/>
  <c r="F833" i="2" l="1"/>
  <c r="G833" i="2" s="1"/>
  <c r="F834" i="2" l="1"/>
  <c r="G834" i="2" s="1"/>
  <c r="F835" i="2" l="1"/>
  <c r="G835" i="2" s="1"/>
  <c r="F836" i="2" l="1"/>
  <c r="G836" i="2" s="1"/>
  <c r="F837" i="2" l="1"/>
  <c r="G837" i="2" s="1"/>
  <c r="F838" i="2" l="1"/>
  <c r="G838" i="2" s="1"/>
  <c r="F839" i="2" l="1"/>
  <c r="G839" i="2" s="1"/>
  <c r="F840" i="2" l="1"/>
  <c r="G840" i="2" s="1"/>
  <c r="F841" i="2" l="1"/>
  <c r="G841" i="2" s="1"/>
  <c r="F842" i="2" l="1"/>
  <c r="G842" i="2" s="1"/>
  <c r="F843" i="2" l="1"/>
  <c r="G843" i="2" s="1"/>
  <c r="F844" i="2" l="1"/>
  <c r="G844" i="2" s="1"/>
  <c r="F845" i="2" l="1"/>
  <c r="G845" i="2" s="1"/>
  <c r="F846" i="2" l="1"/>
  <c r="G846" i="2" s="1"/>
  <c r="F847" i="2" l="1"/>
  <c r="G847" i="2" s="1"/>
  <c r="F848" i="2" l="1"/>
  <c r="G848" i="2" s="1"/>
  <c r="F849" i="2" l="1"/>
  <c r="G849" i="2" s="1"/>
  <c r="F850" i="2" l="1"/>
  <c r="G850" i="2" s="1"/>
  <c r="F851" i="2" l="1"/>
  <c r="G851" i="2" s="1"/>
  <c r="F852" i="2" l="1"/>
  <c r="G852" i="2" s="1"/>
  <c r="F853" i="2" l="1"/>
  <c r="G853" i="2" s="1"/>
  <c r="F854" i="2" l="1"/>
  <c r="G854" i="2" s="1"/>
  <c r="F855" i="2" l="1"/>
  <c r="G855" i="2" s="1"/>
  <c r="F856" i="2" l="1"/>
  <c r="G856" i="2" s="1"/>
  <c r="F857" i="2" l="1"/>
  <c r="G857" i="2" s="1"/>
  <c r="F858" i="2" l="1"/>
  <c r="G858" i="2" s="1"/>
  <c r="F859" i="2" l="1"/>
  <c r="G859" i="2" s="1"/>
  <c r="F860" i="2" l="1"/>
  <c r="G860" i="2" s="1"/>
  <c r="F861" i="2" l="1"/>
  <c r="G861" i="2" s="1"/>
  <c r="F862" i="2" l="1"/>
  <c r="G862" i="2" s="1"/>
  <c r="F863" i="2" l="1"/>
  <c r="G863" i="2" s="1"/>
  <c r="F864" i="2" l="1"/>
  <c r="G864" i="2" s="1"/>
  <c r="F865" i="2" l="1"/>
  <c r="G865" i="2" s="1"/>
  <c r="F866" i="2" l="1"/>
  <c r="G866" i="2" s="1"/>
  <c r="F867" i="2" l="1"/>
  <c r="G867" i="2" s="1"/>
  <c r="F868" i="2" l="1"/>
  <c r="G868" i="2" s="1"/>
  <c r="F869" i="2" l="1"/>
  <c r="G869" i="2" s="1"/>
  <c r="F870" i="2" l="1"/>
  <c r="G870" i="2" s="1"/>
  <c r="F871" i="2" l="1"/>
  <c r="G871" i="2" s="1"/>
  <c r="F872" i="2" l="1"/>
  <c r="G872" i="2" s="1"/>
  <c r="F873" i="2" l="1"/>
  <c r="G873" i="2" s="1"/>
  <c r="F874" i="2" l="1"/>
  <c r="G874" i="2" s="1"/>
  <c r="F875" i="2" l="1"/>
  <c r="G875" i="2" s="1"/>
  <c r="F876" i="2" l="1"/>
  <c r="G876" i="2" s="1"/>
  <c r="F877" i="2" l="1"/>
  <c r="G877" i="2" s="1"/>
  <c r="F878" i="2" l="1"/>
  <c r="G878" i="2" s="1"/>
  <c r="F879" i="2" l="1"/>
  <c r="G879" i="2" s="1"/>
  <c r="F880" i="2" l="1"/>
  <c r="G880" i="2" s="1"/>
  <c r="F881" i="2" l="1"/>
  <c r="G881" i="2" s="1"/>
  <c r="F882" i="2" l="1"/>
  <c r="G882" i="2" s="1"/>
  <c r="F883" i="2" l="1"/>
  <c r="G883" i="2" s="1"/>
  <c r="F884" i="2" l="1"/>
  <c r="G884" i="2" s="1"/>
  <c r="F885" i="2" l="1"/>
  <c r="G885" i="2" s="1"/>
  <c r="F886" i="2" l="1"/>
  <c r="G886" i="2" s="1"/>
  <c r="F887" i="2" l="1"/>
  <c r="G887" i="2" s="1"/>
  <c r="F888" i="2" l="1"/>
  <c r="G888" i="2" s="1"/>
  <c r="F889" i="2" l="1"/>
  <c r="G889" i="2" s="1"/>
  <c r="F890" i="2" l="1"/>
  <c r="G890" i="2" s="1"/>
  <c r="F891" i="2" l="1"/>
  <c r="G891" i="2" s="1"/>
  <c r="F892" i="2" l="1"/>
  <c r="G892" i="2" s="1"/>
  <c r="F893" i="2" l="1"/>
  <c r="G893" i="2" s="1"/>
  <c r="F894" i="2" l="1"/>
  <c r="G894" i="2" s="1"/>
  <c r="F895" i="2" l="1"/>
  <c r="G895" i="2" s="1"/>
  <c r="F896" i="2" l="1"/>
  <c r="G896" i="2" s="1"/>
  <c r="F897" i="2" l="1"/>
  <c r="G897" i="2" s="1"/>
  <c r="F898" i="2" l="1"/>
  <c r="G898" i="2" s="1"/>
  <c r="F899" i="2" l="1"/>
  <c r="G899" i="2" s="1"/>
  <c r="F900" i="2" l="1"/>
  <c r="G900" i="2" s="1"/>
  <c r="F901" i="2" l="1"/>
  <c r="G901" i="2" s="1"/>
  <c r="F902" i="2" l="1"/>
  <c r="G902" i="2" s="1"/>
  <c r="F903" i="2" l="1"/>
  <c r="G903" i="2" s="1"/>
  <c r="F904" i="2" l="1"/>
  <c r="G904" i="2" s="1"/>
  <c r="F905" i="2" l="1"/>
  <c r="G905" i="2" s="1"/>
  <c r="F906" i="2" l="1"/>
  <c r="G906" i="2" s="1"/>
  <c r="F907" i="2" l="1"/>
  <c r="G907" i="2" s="1"/>
  <c r="F908" i="2" l="1"/>
  <c r="G908" i="2" s="1"/>
  <c r="F909" i="2" l="1"/>
  <c r="G909" i="2" s="1"/>
  <c r="F910" i="2" l="1"/>
  <c r="G910" i="2" s="1"/>
  <c r="F911" i="2" l="1"/>
  <c r="G911" i="2" s="1"/>
  <c r="F912" i="2" l="1"/>
  <c r="G912" i="2" s="1"/>
  <c r="F913" i="2" l="1"/>
  <c r="G913" i="2" s="1"/>
  <c r="F914" i="2" l="1"/>
  <c r="G914" i="2" s="1"/>
  <c r="F915" i="2" l="1"/>
  <c r="G915" i="2" s="1"/>
  <c r="F916" i="2" l="1"/>
  <c r="G916" i="2" s="1"/>
  <c r="F917" i="2" l="1"/>
  <c r="G917" i="2" s="1"/>
  <c r="F918" i="2" l="1"/>
  <c r="G918" i="2" s="1"/>
  <c r="F919" i="2" l="1"/>
  <c r="G919" i="2" s="1"/>
  <c r="F920" i="2" l="1"/>
  <c r="G920" i="2" s="1"/>
  <c r="F921" i="2" l="1"/>
  <c r="G921" i="2" s="1"/>
  <c r="F922" i="2" l="1"/>
  <c r="G922" i="2" s="1"/>
  <c r="F923" i="2" l="1"/>
  <c r="G923" i="2" s="1"/>
  <c r="F924" i="2" l="1"/>
  <c r="G924" i="2" s="1"/>
  <c r="F925" i="2" l="1"/>
  <c r="G925" i="2" s="1"/>
  <c r="F926" i="2" l="1"/>
  <c r="G926" i="2" s="1"/>
  <c r="F927" i="2" l="1"/>
  <c r="G927" i="2" s="1"/>
  <c r="F928" i="2" l="1"/>
  <c r="G928" i="2" s="1"/>
  <c r="F929" i="2" l="1"/>
  <c r="G929" i="2" s="1"/>
  <c r="F930" i="2" l="1"/>
  <c r="G930" i="2" s="1"/>
  <c r="F931" i="2" l="1"/>
  <c r="G931" i="2" s="1"/>
  <c r="F932" i="2" l="1"/>
  <c r="G932" i="2" s="1"/>
  <c r="F933" i="2" l="1"/>
  <c r="G933" i="2" s="1"/>
  <c r="F934" i="2" l="1"/>
  <c r="G934" i="2" s="1"/>
  <c r="F935" i="2" l="1"/>
  <c r="G935" i="2" s="1"/>
  <c r="F936" i="2" l="1"/>
  <c r="G936" i="2" s="1"/>
  <c r="F937" i="2" l="1"/>
  <c r="G937" i="2" s="1"/>
  <c r="F938" i="2" l="1"/>
  <c r="G938" i="2" s="1"/>
  <c r="F939" i="2" l="1"/>
  <c r="G939" i="2" s="1"/>
  <c r="F940" i="2" l="1"/>
  <c r="G940" i="2" s="1"/>
  <c r="F941" i="2" l="1"/>
  <c r="G941" i="2" s="1"/>
  <c r="F942" i="2" l="1"/>
  <c r="G942" i="2" s="1"/>
  <c r="F943" i="2" l="1"/>
  <c r="G943" i="2" s="1"/>
  <c r="F944" i="2" l="1"/>
  <c r="G944" i="2" s="1"/>
  <c r="F945" i="2" l="1"/>
  <c r="G945" i="2" s="1"/>
  <c r="F946" i="2" l="1"/>
  <c r="G946" i="2" s="1"/>
  <c r="F947" i="2" l="1"/>
  <c r="G947" i="2" s="1"/>
  <c r="F948" i="2" l="1"/>
  <c r="G948" i="2" s="1"/>
  <c r="F949" i="2" l="1"/>
  <c r="G949" i="2" s="1"/>
  <c r="F950" i="2" l="1"/>
  <c r="G950" i="2" s="1"/>
  <c r="F951" i="2" l="1"/>
  <c r="G951" i="2" s="1"/>
  <c r="F952" i="2" l="1"/>
  <c r="G952" i="2" s="1"/>
  <c r="F953" i="2" l="1"/>
  <c r="G953" i="2" s="1"/>
  <c r="F954" i="2" l="1"/>
  <c r="G954" i="2" s="1"/>
  <c r="F955" i="2" l="1"/>
  <c r="G955" i="2" s="1"/>
  <c r="F956" i="2" l="1"/>
  <c r="G956" i="2" s="1"/>
  <c r="F957" i="2" l="1"/>
  <c r="G957" i="2" s="1"/>
  <c r="F958" i="2" l="1"/>
  <c r="G958" i="2" s="1"/>
  <c r="F959" i="2" l="1"/>
  <c r="G959" i="2" s="1"/>
  <c r="F960" i="2" l="1"/>
  <c r="G960" i="2" s="1"/>
  <c r="F961" i="2" l="1"/>
  <c r="G961" i="2" s="1"/>
  <c r="F962" i="2" l="1"/>
  <c r="G962" i="2" s="1"/>
  <c r="F963" i="2" l="1"/>
  <c r="G963" i="2" s="1"/>
  <c r="F964" i="2" l="1"/>
  <c r="G964" i="2" s="1"/>
  <c r="F965" i="2" l="1"/>
  <c r="G965" i="2" s="1"/>
  <c r="F966" i="2" l="1"/>
  <c r="G966" i="2" s="1"/>
  <c r="F967" i="2" l="1"/>
  <c r="G967" i="2" s="1"/>
  <c r="F968" i="2" l="1"/>
  <c r="G968" i="2" s="1"/>
  <c r="F969" i="2" l="1"/>
  <c r="G969" i="2" s="1"/>
  <c r="F970" i="2" l="1"/>
  <c r="G970" i="2" s="1"/>
  <c r="F971" i="2" l="1"/>
  <c r="G971" i="2" s="1"/>
  <c r="F972" i="2" l="1"/>
  <c r="G972" i="2" s="1"/>
  <c r="F973" i="2" l="1"/>
  <c r="G973" i="2" s="1"/>
  <c r="F974" i="2" l="1"/>
  <c r="G974" i="2" s="1"/>
  <c r="F975" i="2" l="1"/>
  <c r="G975" i="2" s="1"/>
  <c r="F976" i="2" l="1"/>
  <c r="G976" i="2" s="1"/>
  <c r="F977" i="2" l="1"/>
  <c r="G977" i="2" s="1"/>
  <c r="F978" i="2" l="1"/>
  <c r="G978" i="2" s="1"/>
  <c r="F979" i="2" l="1"/>
  <c r="G979" i="2" s="1"/>
  <c r="F980" i="2" l="1"/>
  <c r="G980" i="2" s="1"/>
  <c r="F981" i="2" l="1"/>
  <c r="G981" i="2" s="1"/>
  <c r="F982" i="2" l="1"/>
  <c r="G982" i="2" s="1"/>
  <c r="F983" i="2" l="1"/>
  <c r="G983" i="2" s="1"/>
  <c r="F984" i="2" l="1"/>
  <c r="G984" i="2" s="1"/>
  <c r="F985" i="2" l="1"/>
  <c r="G985" i="2" s="1"/>
  <c r="F986" i="2" l="1"/>
  <c r="G986" i="2" s="1"/>
  <c r="F987" i="2" l="1"/>
  <c r="G987" i="2" s="1"/>
  <c r="F988" i="2" l="1"/>
  <c r="G988" i="2" s="1"/>
  <c r="F989" i="2" l="1"/>
  <c r="G989" i="2" s="1"/>
  <c r="F990" i="2" l="1"/>
  <c r="G990" i="2" s="1"/>
  <c r="F991" i="2" l="1"/>
  <c r="G991" i="2" s="1"/>
  <c r="F992" i="2" l="1"/>
  <c r="G992" i="2" s="1"/>
  <c r="F993" i="2" l="1"/>
  <c r="G993" i="2" s="1"/>
  <c r="F994" i="2" l="1"/>
  <c r="G994" i="2" s="1"/>
  <c r="F995" i="2" l="1"/>
  <c r="G995" i="2" s="1"/>
  <c r="F996" i="2" l="1"/>
  <c r="G996" i="2" s="1"/>
  <c r="F997" i="2" l="1"/>
  <c r="G997" i="2" s="1"/>
  <c r="F998" i="2" l="1"/>
  <c r="G998" i="2" s="1"/>
  <c r="F999" i="2" l="1"/>
  <c r="G999" i="2" s="1"/>
  <c r="F1000" i="2" l="1"/>
  <c r="G1000" i="2" s="1"/>
  <c r="F1001" i="2" l="1"/>
  <c r="G1001" i="2" s="1"/>
  <c r="F1002" i="2" l="1"/>
  <c r="G1002" i="2" s="1"/>
  <c r="F1003" i="2" l="1"/>
  <c r="G1003" i="2" s="1"/>
  <c r="F1004" i="2" l="1"/>
  <c r="G1004" i="2" s="1"/>
  <c r="F1005" i="2" l="1"/>
  <c r="G1005" i="2" s="1"/>
  <c r="F1006" i="2" l="1"/>
  <c r="G1006" i="2" s="1"/>
  <c r="F1007" i="2" l="1"/>
  <c r="G1007" i="2" s="1"/>
  <c r="F1008" i="2" l="1"/>
  <c r="G1008" i="2" s="1"/>
  <c r="F1009" i="2" l="1"/>
  <c r="G1009" i="2" s="1"/>
  <c r="F1010" i="2" l="1"/>
  <c r="G1010" i="2" s="1"/>
  <c r="F1011" i="2" l="1"/>
  <c r="G1011" i="2" s="1"/>
  <c r="F1012" i="2" l="1"/>
  <c r="G1012" i="2" s="1"/>
  <c r="F1013" i="2" l="1"/>
  <c r="G1013" i="2" s="1"/>
  <c r="F1014" i="2" l="1"/>
  <c r="G1014" i="2" s="1"/>
  <c r="F1015" i="2" l="1"/>
  <c r="G1015" i="2" s="1"/>
  <c r="F1016" i="2" l="1"/>
  <c r="G1016" i="2" s="1"/>
  <c r="F1017" i="2" l="1"/>
  <c r="G1017" i="2" s="1"/>
  <c r="F1018" i="2" l="1"/>
  <c r="G1018" i="2" s="1"/>
  <c r="F1019" i="2" l="1"/>
  <c r="G1019" i="2" s="1"/>
  <c r="F1020" i="2" l="1"/>
  <c r="G1020" i="2" s="1"/>
  <c r="F1021" i="2" l="1"/>
  <c r="G1021" i="2" s="1"/>
  <c r="F1022" i="2" l="1"/>
  <c r="G1022" i="2" s="1"/>
  <c r="F1023" i="2" l="1"/>
  <c r="G1023" i="2" s="1"/>
  <c r="F1024" i="2" l="1"/>
  <c r="G1024" i="2" s="1"/>
  <c r="F1025" i="2" l="1"/>
  <c r="G1025" i="2" s="1"/>
  <c r="F1026" i="2" l="1"/>
  <c r="G1026" i="2" s="1"/>
  <c r="F1027" i="2" l="1"/>
  <c r="G1027" i="2" s="1"/>
  <c r="F1028" i="2" l="1"/>
  <c r="G1028" i="2" s="1"/>
  <c r="F1029" i="2" l="1"/>
  <c r="G1029" i="2" s="1"/>
  <c r="F1030" i="2" l="1"/>
  <c r="G1030" i="2" s="1"/>
  <c r="F1031" i="2" l="1"/>
  <c r="G1031" i="2" s="1"/>
  <c r="F1032" i="2" l="1"/>
  <c r="G1032" i="2" s="1"/>
  <c r="F1033" i="2" l="1"/>
  <c r="G1033" i="2" s="1"/>
  <c r="F1034" i="2" l="1"/>
  <c r="G1034" i="2" s="1"/>
  <c r="F1035" i="2" l="1"/>
  <c r="G1035" i="2" s="1"/>
  <c r="F1036" i="2" l="1"/>
  <c r="G1036" i="2" s="1"/>
  <c r="F1037" i="2" l="1"/>
  <c r="G1037" i="2" s="1"/>
  <c r="F1038" i="2" l="1"/>
  <c r="G1038" i="2" s="1"/>
  <c r="F1039" i="2" l="1"/>
  <c r="G1039" i="2" s="1"/>
  <c r="F1040" i="2" l="1"/>
  <c r="G1040" i="2" s="1"/>
  <c r="F1041" i="2" l="1"/>
  <c r="G1041" i="2" s="1"/>
  <c r="F1042" i="2" l="1"/>
  <c r="G1042" i="2" s="1"/>
  <c r="F1043" i="2" l="1"/>
  <c r="G1043" i="2" s="1"/>
  <c r="F1044" i="2" l="1"/>
  <c r="G1044" i="2" s="1"/>
  <c r="F1045" i="2" l="1"/>
  <c r="G1045" i="2" s="1"/>
  <c r="F1046" i="2" l="1"/>
  <c r="G1046" i="2" s="1"/>
  <c r="F1047" i="2" l="1"/>
  <c r="G1047" i="2" s="1"/>
  <c r="F1048" i="2" l="1"/>
  <c r="G1048" i="2" s="1"/>
  <c r="F1049" i="2" l="1"/>
  <c r="G1049" i="2" s="1"/>
  <c r="F1050" i="2" l="1"/>
  <c r="G1050" i="2" s="1"/>
  <c r="F1051" i="2" l="1"/>
  <c r="G1051" i="2" s="1"/>
  <c r="F1052" i="2" l="1"/>
  <c r="G1052" i="2" s="1"/>
  <c r="F1053" i="2" l="1"/>
  <c r="G1053" i="2" s="1"/>
  <c r="F1054" i="2" l="1"/>
  <c r="G1054" i="2" s="1"/>
  <c r="F1055" i="2" l="1"/>
  <c r="G1055" i="2" s="1"/>
  <c r="F1056" i="2" l="1"/>
  <c r="G1056" i="2" s="1"/>
  <c r="F1057" i="2" l="1"/>
  <c r="G1057" i="2" s="1"/>
  <c r="F1058" i="2" l="1"/>
  <c r="G1058" i="2" s="1"/>
  <c r="F1059" i="2" l="1"/>
  <c r="G1059" i="2" s="1"/>
  <c r="F1060" i="2" l="1"/>
  <c r="G1060" i="2" s="1"/>
  <c r="F1061" i="2" l="1"/>
  <c r="G1061" i="2" s="1"/>
  <c r="F1062" i="2" l="1"/>
  <c r="G1062" i="2" s="1"/>
  <c r="F1063" i="2" l="1"/>
  <c r="G1063" i="2" s="1"/>
  <c r="F1064" i="2" l="1"/>
  <c r="G1064" i="2" s="1"/>
  <c r="F1065" i="2" l="1"/>
  <c r="G1065" i="2" s="1"/>
  <c r="F1066" i="2" l="1"/>
  <c r="G1066" i="2" s="1"/>
  <c r="F1067" i="2" l="1"/>
  <c r="G1067" i="2" s="1"/>
  <c r="F1068" i="2" l="1"/>
  <c r="G1068" i="2" s="1"/>
  <c r="F1069" i="2" l="1"/>
  <c r="G1069" i="2" s="1"/>
  <c r="F1070" i="2" l="1"/>
  <c r="G1070" i="2" s="1"/>
  <c r="F1071" i="2" l="1"/>
  <c r="G1071" i="2" s="1"/>
  <c r="F1072" i="2" l="1"/>
  <c r="G1072" i="2" s="1"/>
  <c r="F1073" i="2" l="1"/>
  <c r="G1073" i="2" s="1"/>
  <c r="F1074" i="2" l="1"/>
  <c r="G1074" i="2" s="1"/>
  <c r="F1075" i="2" l="1"/>
  <c r="G1075" i="2" s="1"/>
  <c r="F1076" i="2" l="1"/>
  <c r="G1076" i="2" s="1"/>
  <c r="F1077" i="2" l="1"/>
  <c r="G1077" i="2" s="1"/>
  <c r="F1078" i="2" l="1"/>
  <c r="G1078" i="2" s="1"/>
  <c r="F1079" i="2" l="1"/>
  <c r="G1079" i="2" s="1"/>
  <c r="F1080" i="2" l="1"/>
  <c r="G1080" i="2" s="1"/>
  <c r="F1081" i="2" l="1"/>
  <c r="G1081" i="2" s="1"/>
  <c r="F1082" i="2" l="1"/>
  <c r="G1082" i="2" s="1"/>
  <c r="F1083" i="2" l="1"/>
  <c r="G1083" i="2" s="1"/>
  <c r="F1084" i="2" l="1"/>
  <c r="G1084" i="2" s="1"/>
  <c r="F1085" i="2" l="1"/>
  <c r="G1085" i="2" s="1"/>
  <c r="F1086" i="2" l="1"/>
  <c r="G1086" i="2" s="1"/>
  <c r="F1087" i="2" l="1"/>
  <c r="G1087" i="2" s="1"/>
  <c r="F1088" i="2" l="1"/>
  <c r="G1088" i="2" s="1"/>
  <c r="F1089" i="2" l="1"/>
  <c r="G1089" i="2" s="1"/>
  <c r="F1090" i="2" l="1"/>
  <c r="G1090" i="2" s="1"/>
  <c r="F1091" i="2" l="1"/>
  <c r="G1091" i="2" s="1"/>
  <c r="F1092" i="2" l="1"/>
  <c r="G1092" i="2" s="1"/>
  <c r="F1093" i="2" l="1"/>
  <c r="G1093" i="2" s="1"/>
  <c r="F1094" i="2" l="1"/>
  <c r="G1094" i="2" s="1"/>
  <c r="F1095" i="2" l="1"/>
  <c r="G1095" i="2" s="1"/>
  <c r="F1096" i="2" l="1"/>
  <c r="G1096" i="2" s="1"/>
  <c r="F1097" i="2" l="1"/>
  <c r="G1097" i="2" s="1"/>
  <c r="F1098" i="2" l="1"/>
  <c r="G1098" i="2" s="1"/>
  <c r="F1099" i="2" l="1"/>
  <c r="G1099" i="2" s="1"/>
  <c r="F1100" i="2" l="1"/>
  <c r="G1100" i="2" s="1"/>
  <c r="F1101" i="2" l="1"/>
  <c r="G1101" i="2" s="1"/>
  <c r="F1102" i="2" l="1"/>
  <c r="G1102" i="2" s="1"/>
  <c r="F1103" i="2" l="1"/>
  <c r="G1103" i="2" s="1"/>
  <c r="F1104" i="2" l="1"/>
  <c r="G1104" i="2" s="1"/>
  <c r="F1105" i="2" l="1"/>
  <c r="G1105" i="2" s="1"/>
  <c r="F1106" i="2" l="1"/>
  <c r="G1106" i="2" s="1"/>
  <c r="F1107" i="2" l="1"/>
  <c r="G1107" i="2" s="1"/>
  <c r="F1108" i="2" l="1"/>
  <c r="G1108" i="2" s="1"/>
  <c r="F1109" i="2" l="1"/>
  <c r="G1109" i="2" s="1"/>
  <c r="F1110" i="2" l="1"/>
  <c r="G1110" i="2" s="1"/>
  <c r="F1111" i="2" l="1"/>
  <c r="G1111" i="2" s="1"/>
  <c r="F1112" i="2" l="1"/>
  <c r="G1112" i="2" s="1"/>
  <c r="F1113" i="2" l="1"/>
  <c r="G1113" i="2" s="1"/>
  <c r="F1114" i="2" l="1"/>
  <c r="G1114" i="2" s="1"/>
  <c r="F1115" i="2" l="1"/>
  <c r="G1115" i="2" s="1"/>
  <c r="F1116" i="2" l="1"/>
  <c r="G1116" i="2" s="1"/>
  <c r="F1117" i="2" l="1"/>
  <c r="G1117" i="2" s="1"/>
  <c r="F1118" i="2" l="1"/>
  <c r="G1118" i="2" s="1"/>
  <c r="F1119" i="2" l="1"/>
  <c r="G1119" i="2" s="1"/>
  <c r="F1120" i="2" l="1"/>
  <c r="G1120" i="2" s="1"/>
  <c r="F1121" i="2" l="1"/>
  <c r="G1121" i="2" s="1"/>
  <c r="F1122" i="2" l="1"/>
  <c r="G1122" i="2" s="1"/>
  <c r="F1123" i="2" l="1"/>
  <c r="G1123" i="2" s="1"/>
  <c r="F1124" i="2" l="1"/>
  <c r="G1124" i="2" s="1"/>
  <c r="F1125" i="2" l="1"/>
  <c r="G1125" i="2" s="1"/>
  <c r="F1126" i="2" l="1"/>
  <c r="G1126" i="2" s="1"/>
  <c r="F1127" i="2" l="1"/>
  <c r="G1127" i="2" s="1"/>
  <c r="F1128" i="2" l="1"/>
  <c r="G1128" i="2" s="1"/>
  <c r="F1129" i="2" l="1"/>
  <c r="G1129" i="2" s="1"/>
  <c r="F1130" i="2" l="1"/>
  <c r="G1130" i="2" s="1"/>
  <c r="F1131" i="2" l="1"/>
  <c r="G1131" i="2" s="1"/>
  <c r="F1132" i="2" l="1"/>
  <c r="G1132" i="2" s="1"/>
  <c r="F1133" i="2" l="1"/>
  <c r="G1133" i="2" s="1"/>
  <c r="F1134" i="2" l="1"/>
  <c r="G1134" i="2" s="1"/>
  <c r="F1135" i="2" l="1"/>
  <c r="G1135" i="2" s="1"/>
  <c r="F1136" i="2" l="1"/>
  <c r="G1136" i="2" s="1"/>
  <c r="F1137" i="2" l="1"/>
  <c r="G1137" i="2" s="1"/>
  <c r="F1138" i="2" l="1"/>
  <c r="G1138" i="2" s="1"/>
  <c r="F1139" i="2" l="1"/>
  <c r="G1139" i="2" s="1"/>
  <c r="F1140" i="2" l="1"/>
  <c r="G1140" i="2" s="1"/>
  <c r="F1141" i="2" l="1"/>
  <c r="G1141" i="2" s="1"/>
  <c r="F1142" i="2" l="1"/>
  <c r="G1142" i="2" s="1"/>
  <c r="F1143" i="2" l="1"/>
  <c r="G1143" i="2" s="1"/>
  <c r="F1144" i="2" l="1"/>
  <c r="G1144" i="2" s="1"/>
  <c r="F1145" i="2" l="1"/>
  <c r="G1145" i="2" s="1"/>
  <c r="F1146" i="2" l="1"/>
  <c r="G1146" i="2" s="1"/>
  <c r="F1147" i="2" l="1"/>
  <c r="G1147" i="2" s="1"/>
  <c r="F1148" i="2" l="1"/>
  <c r="G1148" i="2" s="1"/>
  <c r="F1149" i="2" l="1"/>
  <c r="G1149" i="2" s="1"/>
  <c r="F1150" i="2" l="1"/>
  <c r="G1150" i="2" s="1"/>
  <c r="F1151" i="2" l="1"/>
  <c r="G1151" i="2" s="1"/>
  <c r="F1152" i="2" l="1"/>
  <c r="G1152" i="2" s="1"/>
  <c r="F1153" i="2" l="1"/>
  <c r="G1153" i="2" s="1"/>
  <c r="F1154" i="2" l="1"/>
  <c r="G1154" i="2" s="1"/>
  <c r="F1155" i="2" l="1"/>
  <c r="G1155" i="2" s="1"/>
  <c r="F1156" i="2" l="1"/>
  <c r="G1156" i="2" s="1"/>
  <c r="F1157" i="2" l="1"/>
  <c r="G1157" i="2" s="1"/>
  <c r="F1158" i="2" l="1"/>
  <c r="G1158" i="2" s="1"/>
  <c r="F1159" i="2" l="1"/>
  <c r="G1159" i="2" s="1"/>
  <c r="F1160" i="2" l="1"/>
  <c r="G1160" i="2" s="1"/>
  <c r="F1161" i="2" l="1"/>
  <c r="G1161" i="2" s="1"/>
  <c r="F1162" i="2" l="1"/>
  <c r="G1162" i="2" s="1"/>
  <c r="F1163" i="2" l="1"/>
  <c r="G1163" i="2" s="1"/>
  <c r="F1164" i="2" l="1"/>
  <c r="G1164" i="2" s="1"/>
  <c r="F1165" i="2" l="1"/>
  <c r="G1165" i="2" s="1"/>
  <c r="F1166" i="2" l="1"/>
  <c r="G1166" i="2" s="1"/>
  <c r="F1167" i="2" l="1"/>
  <c r="G1167" i="2" s="1"/>
  <c r="F1168" i="2" l="1"/>
  <c r="G1168" i="2" s="1"/>
  <c r="F1169" i="2" l="1"/>
  <c r="G1169" i="2" s="1"/>
  <c r="F1170" i="2" l="1"/>
  <c r="G1170" i="2" s="1"/>
  <c r="F1171" i="2" l="1"/>
  <c r="G1171" i="2" s="1"/>
  <c r="F1172" i="2" l="1"/>
  <c r="G1172" i="2" s="1"/>
  <c r="F1173" i="2" l="1"/>
  <c r="G1173" i="2" s="1"/>
  <c r="F1174" i="2" l="1"/>
  <c r="G1174" i="2" s="1"/>
  <c r="F1175" i="2" l="1"/>
  <c r="G1175" i="2" s="1"/>
  <c r="F1176" i="2" l="1"/>
  <c r="G1176" i="2" s="1"/>
  <c r="F1177" i="2" l="1"/>
  <c r="G1177" i="2" s="1"/>
  <c r="F1178" i="2" l="1"/>
  <c r="G1178" i="2" s="1"/>
  <c r="F1179" i="2" l="1"/>
  <c r="G1179" i="2" s="1"/>
  <c r="F1180" i="2" l="1"/>
  <c r="G1180" i="2" s="1"/>
  <c r="F1181" i="2" l="1"/>
  <c r="G1181" i="2" s="1"/>
  <c r="F1182" i="2" l="1"/>
  <c r="G1182" i="2" s="1"/>
  <c r="F1183" i="2" l="1"/>
  <c r="G1183" i="2" s="1"/>
  <c r="F1184" i="2" l="1"/>
  <c r="G1184" i="2" s="1"/>
  <c r="F1185" i="2" l="1"/>
  <c r="G1185" i="2" s="1"/>
  <c r="F1186" i="2" l="1"/>
  <c r="G1186" i="2" s="1"/>
  <c r="F1187" i="2" l="1"/>
  <c r="G1187" i="2" s="1"/>
  <c r="F1188" i="2" l="1"/>
  <c r="G1188" i="2" s="1"/>
  <c r="F1189" i="2" l="1"/>
  <c r="G1189" i="2" s="1"/>
  <c r="F1190" i="2" l="1"/>
  <c r="G1190" i="2" s="1"/>
  <c r="F1191" i="2" l="1"/>
  <c r="G1191" i="2" s="1"/>
  <c r="F1192" i="2" l="1"/>
  <c r="G1192" i="2" s="1"/>
  <c r="F1193" i="2" l="1"/>
  <c r="G1193" i="2" s="1"/>
  <c r="F1194" i="2" l="1"/>
  <c r="G1194" i="2" s="1"/>
  <c r="F1195" i="2" l="1"/>
  <c r="G1195" i="2" s="1"/>
  <c r="F1196" i="2" l="1"/>
  <c r="G1196" i="2" s="1"/>
  <c r="F1197" i="2" l="1"/>
  <c r="G1197" i="2" s="1"/>
  <c r="F1198" i="2" l="1"/>
  <c r="G1198" i="2" s="1"/>
  <c r="F1199" i="2" l="1"/>
  <c r="G1199" i="2" s="1"/>
  <c r="F1200" i="2" l="1"/>
  <c r="G1200" i="2" s="1"/>
  <c r="F1201" i="2" l="1"/>
  <c r="G1201" i="2" s="1"/>
  <c r="F1202" i="2" l="1"/>
  <c r="G1202" i="2" s="1"/>
  <c r="F1203" i="2" l="1"/>
  <c r="G1203" i="2" s="1"/>
  <c r="F1204" i="2" l="1"/>
  <c r="G1204" i="2" s="1"/>
  <c r="F1205" i="2" l="1"/>
  <c r="G1205" i="2" s="1"/>
  <c r="F1206" i="2" l="1"/>
  <c r="G1206" i="2" s="1"/>
  <c r="F1207" i="2" l="1"/>
  <c r="G1207" i="2" s="1"/>
  <c r="F1208" i="2" l="1"/>
  <c r="G1208" i="2" s="1"/>
  <c r="F1209" i="2" l="1"/>
  <c r="G1209" i="2" s="1"/>
  <c r="F1210" i="2" l="1"/>
  <c r="G1210" i="2" s="1"/>
  <c r="F1211" i="2" l="1"/>
  <c r="G1211" i="2" s="1"/>
  <c r="F1212" i="2" l="1"/>
  <c r="G1212" i="2" s="1"/>
  <c r="F1213" i="2" l="1"/>
  <c r="G1213" i="2" s="1"/>
  <c r="F1214" i="2" l="1"/>
  <c r="G1214" i="2" s="1"/>
  <c r="F1215" i="2" l="1"/>
  <c r="G1215" i="2" s="1"/>
  <c r="F1216" i="2" l="1"/>
  <c r="G1216" i="2" s="1"/>
  <c r="F1217" i="2" l="1"/>
  <c r="G1217" i="2" s="1"/>
  <c r="F1218" i="2" l="1"/>
  <c r="G1218" i="2" s="1"/>
  <c r="F1219" i="2" l="1"/>
  <c r="G1219" i="2" s="1"/>
  <c r="F1220" i="2" l="1"/>
  <c r="G1220" i="2" s="1"/>
  <c r="F1221" i="2" l="1"/>
  <c r="G1221" i="2" s="1"/>
  <c r="F1222" i="2" l="1"/>
  <c r="G1222" i="2" s="1"/>
  <c r="F1223" i="2" l="1"/>
  <c r="G1223" i="2" s="1"/>
  <c r="F1224" i="2" l="1"/>
  <c r="G1224" i="2" s="1"/>
  <c r="F1225" i="2" l="1"/>
  <c r="G1225" i="2" s="1"/>
  <c r="F1226" i="2" l="1"/>
  <c r="G1226" i="2" s="1"/>
  <c r="F1227" i="2" l="1"/>
  <c r="G1227" i="2" s="1"/>
  <c r="F1228" i="2" l="1"/>
  <c r="G1228" i="2" s="1"/>
  <c r="F1229" i="2" l="1"/>
  <c r="G1229" i="2" s="1"/>
  <c r="F1230" i="2" l="1"/>
  <c r="G1230" i="2" s="1"/>
  <c r="F1231" i="2" l="1"/>
  <c r="G1231" i="2" s="1"/>
  <c r="F1232" i="2" l="1"/>
  <c r="G1232" i="2" s="1"/>
  <c r="F1233" i="2" l="1"/>
  <c r="G1233" i="2" s="1"/>
  <c r="F1234" i="2" l="1"/>
  <c r="G1234" i="2" s="1"/>
  <c r="F1235" i="2" l="1"/>
  <c r="G1235" i="2" s="1"/>
  <c r="F1236" i="2" l="1"/>
  <c r="G1236" i="2" s="1"/>
  <c r="F1237" i="2" l="1"/>
  <c r="G1237" i="2" s="1"/>
  <c r="F1238" i="2" l="1"/>
  <c r="G1238" i="2" s="1"/>
  <c r="F1239" i="2" l="1"/>
  <c r="G1239" i="2" s="1"/>
  <c r="F1240" i="2" l="1"/>
  <c r="G1240" i="2" s="1"/>
  <c r="F1241" i="2" l="1"/>
  <c r="G1241" i="2" s="1"/>
  <c r="F1242" i="2" l="1"/>
  <c r="G1242" i="2" s="1"/>
  <c r="F1243" i="2" l="1"/>
  <c r="G1243" i="2" s="1"/>
  <c r="F1244" i="2" l="1"/>
  <c r="G1244" i="2" s="1"/>
  <c r="F1245" i="2" l="1"/>
  <c r="G1245" i="2" s="1"/>
  <c r="F1246" i="2" l="1"/>
  <c r="G1246" i="2" s="1"/>
  <c r="F1247" i="2" l="1"/>
  <c r="G1247" i="2" s="1"/>
  <c r="F1248" i="2" l="1"/>
  <c r="G1248" i="2" s="1"/>
  <c r="F1249" i="2" l="1"/>
  <c r="G1249" i="2" s="1"/>
  <c r="F1250" i="2" l="1"/>
  <c r="G1250" i="2" s="1"/>
  <c r="F1251" i="2" l="1"/>
  <c r="G1251" i="2" s="1"/>
  <c r="F1252" i="2" l="1"/>
  <c r="G1252" i="2" s="1"/>
  <c r="F1253" i="2" l="1"/>
  <c r="G1253" i="2" s="1"/>
  <c r="F1254" i="2" l="1"/>
  <c r="G1254" i="2" s="1"/>
  <c r="F1255" i="2" l="1"/>
  <c r="G1255" i="2" s="1"/>
  <c r="F1256" i="2" l="1"/>
  <c r="G1256" i="2" s="1"/>
  <c r="F1257" i="2" l="1"/>
  <c r="G1257" i="2" s="1"/>
  <c r="F1258" i="2" l="1"/>
  <c r="G1258" i="2" s="1"/>
  <c r="F1259" i="2" l="1"/>
  <c r="G1259" i="2" s="1"/>
  <c r="F1260" i="2" l="1"/>
  <c r="G1260" i="2" s="1"/>
  <c r="F1261" i="2" l="1"/>
  <c r="G1261" i="2" s="1"/>
  <c r="F1262" i="2" l="1"/>
  <c r="G1262" i="2" s="1"/>
  <c r="F1263" i="2" l="1"/>
  <c r="G1263" i="2" s="1"/>
  <c r="F1264" i="2" l="1"/>
  <c r="G1264" i="2" s="1"/>
  <c r="F1265" i="2" l="1"/>
  <c r="G1265" i="2" s="1"/>
  <c r="F1266" i="2" l="1"/>
  <c r="G1266" i="2" s="1"/>
  <c r="F1267" i="2" l="1"/>
  <c r="G1267" i="2" s="1"/>
  <c r="F1268" i="2" l="1"/>
  <c r="G1268" i="2" s="1"/>
  <c r="F1269" i="2" l="1"/>
  <c r="G1269" i="2" s="1"/>
  <c r="F1270" i="2" l="1"/>
  <c r="G1270" i="2" s="1"/>
  <c r="F1271" i="2" l="1"/>
  <c r="G1271" i="2" s="1"/>
  <c r="F1272" i="2" l="1"/>
  <c r="G1272" i="2" s="1"/>
  <c r="F1273" i="2" l="1"/>
  <c r="G1273" i="2" s="1"/>
  <c r="F1274" i="2" l="1"/>
  <c r="G1274" i="2" s="1"/>
  <c r="F1275" i="2" l="1"/>
  <c r="G1275" i="2" s="1"/>
  <c r="F1276" i="2" l="1"/>
  <c r="G1276" i="2" s="1"/>
  <c r="F1277" i="2" l="1"/>
  <c r="G1277" i="2" s="1"/>
  <c r="F1278" i="2" l="1"/>
  <c r="G1278" i="2" s="1"/>
  <c r="F1279" i="2" l="1"/>
  <c r="G1279" i="2" s="1"/>
  <c r="F1280" i="2" l="1"/>
  <c r="G1280" i="2" s="1"/>
  <c r="F1281" i="2" l="1"/>
  <c r="G1281" i="2" s="1"/>
  <c r="F1282" i="2" l="1"/>
  <c r="G1282" i="2" s="1"/>
  <c r="F1283" i="2" l="1"/>
  <c r="G1283" i="2" s="1"/>
  <c r="F1284" i="2" l="1"/>
  <c r="G1284" i="2" s="1"/>
  <c r="F1285" i="2" l="1"/>
  <c r="G1285" i="2" s="1"/>
  <c r="F1286" i="2" l="1"/>
  <c r="G1286" i="2" s="1"/>
  <c r="F1287" i="2" l="1"/>
  <c r="G1287" i="2" s="1"/>
  <c r="F1288" i="2" l="1"/>
  <c r="G1288" i="2" s="1"/>
  <c r="F1289" i="2" l="1"/>
  <c r="G1289" i="2" s="1"/>
  <c r="F1290" i="2" l="1"/>
  <c r="G1290" i="2" s="1"/>
  <c r="F1291" i="2" l="1"/>
  <c r="G1291" i="2" s="1"/>
  <c r="F1292" i="2" l="1"/>
  <c r="G1292" i="2" s="1"/>
  <c r="F1293" i="2" l="1"/>
  <c r="G1293" i="2" s="1"/>
  <c r="F1294" i="2" l="1"/>
  <c r="G1294" i="2" s="1"/>
  <c r="F1295" i="2" l="1"/>
  <c r="G1295" i="2" s="1"/>
  <c r="F1296" i="2" l="1"/>
  <c r="G1296" i="2" s="1"/>
  <c r="F1297" i="2" l="1"/>
  <c r="G1297" i="2" s="1"/>
  <c r="F1298" i="2" l="1"/>
  <c r="G1298" i="2" s="1"/>
  <c r="F1299" i="2" l="1"/>
  <c r="G1299" i="2" s="1"/>
  <c r="F1300" i="2" l="1"/>
  <c r="G1300" i="2" s="1"/>
  <c r="F1301" i="2" l="1"/>
  <c r="G1301" i="2" s="1"/>
  <c r="F1302" i="2" l="1"/>
  <c r="G1302" i="2" s="1"/>
  <c r="F1303" i="2" l="1"/>
  <c r="G1303" i="2" s="1"/>
  <c r="F1304" i="2" l="1"/>
  <c r="G1304" i="2" s="1"/>
  <c r="F1305" i="2" l="1"/>
  <c r="G1305" i="2" s="1"/>
  <c r="F1306" i="2" l="1"/>
  <c r="G1306" i="2" s="1"/>
  <c r="F1307" i="2" l="1"/>
  <c r="G1307" i="2" s="1"/>
  <c r="F1308" i="2" l="1"/>
  <c r="G1308" i="2" s="1"/>
  <c r="F1309" i="2" l="1"/>
  <c r="G1309" i="2" s="1"/>
  <c r="F1310" i="2" l="1"/>
  <c r="G1310" i="2" s="1"/>
  <c r="F1311" i="2" l="1"/>
  <c r="G1311" i="2" s="1"/>
  <c r="F1312" i="2" l="1"/>
  <c r="G1312" i="2" s="1"/>
  <c r="F1313" i="2" l="1"/>
  <c r="G1313" i="2" s="1"/>
  <c r="F1314" i="2" l="1"/>
  <c r="G1314" i="2" s="1"/>
  <c r="F1315" i="2" l="1"/>
  <c r="G1315" i="2" s="1"/>
  <c r="F1316" i="2" l="1"/>
  <c r="G1316" i="2" s="1"/>
  <c r="F1317" i="2" l="1"/>
  <c r="G1317" i="2" s="1"/>
  <c r="F1318" i="2" l="1"/>
  <c r="G1318" i="2" s="1"/>
  <c r="F1319" i="2" l="1"/>
  <c r="G1319" i="2" s="1"/>
  <c r="F1320" i="2" l="1"/>
  <c r="G1320" i="2" s="1"/>
  <c r="F1321" i="2" l="1"/>
  <c r="G1321" i="2" s="1"/>
  <c r="F1322" i="2" l="1"/>
  <c r="G1322" i="2" s="1"/>
  <c r="F1323" i="2" l="1"/>
  <c r="G1323" i="2" s="1"/>
  <c r="F1324" i="2" l="1"/>
  <c r="G1324" i="2" s="1"/>
  <c r="F1325" i="2" l="1"/>
  <c r="G1325" i="2" s="1"/>
  <c r="F1326" i="2" l="1"/>
  <c r="G1326" i="2" s="1"/>
  <c r="F1327" i="2" l="1"/>
  <c r="G1327" i="2" s="1"/>
  <c r="F1328" i="2" l="1"/>
  <c r="G1328" i="2" s="1"/>
  <c r="F1329" i="2" l="1"/>
  <c r="G1329" i="2" s="1"/>
  <c r="F1330" i="2" l="1"/>
  <c r="G1330" i="2" s="1"/>
  <c r="F1331" i="2" l="1"/>
  <c r="G1331" i="2" s="1"/>
  <c r="F1332" i="2" l="1"/>
  <c r="G1332" i="2" s="1"/>
  <c r="F1333" i="2" l="1"/>
  <c r="G1333" i="2" s="1"/>
  <c r="F1334" i="2" l="1"/>
  <c r="G1334" i="2" s="1"/>
  <c r="F1335" i="2" l="1"/>
  <c r="G1335" i="2" s="1"/>
  <c r="F1336" i="2" l="1"/>
  <c r="G1336" i="2" s="1"/>
  <c r="F1337" i="2" l="1"/>
  <c r="G1337" i="2" s="1"/>
  <c r="F1338" i="2" l="1"/>
  <c r="G1338" i="2" s="1"/>
  <c r="F1339" i="2" l="1"/>
  <c r="G1339" i="2" s="1"/>
  <c r="F1340" i="2" l="1"/>
  <c r="G1340" i="2" s="1"/>
  <c r="F1341" i="2" l="1"/>
  <c r="G1341" i="2" s="1"/>
  <c r="F1342" i="2" l="1"/>
  <c r="G1342" i="2" s="1"/>
  <c r="F1343" i="2" l="1"/>
  <c r="G1343" i="2" s="1"/>
  <c r="F1344" i="2" l="1"/>
  <c r="G1344" i="2" s="1"/>
  <c r="F1345" i="2" l="1"/>
  <c r="G1345" i="2" s="1"/>
  <c r="F1346" i="2" l="1"/>
  <c r="G1346" i="2" s="1"/>
  <c r="F1347" i="2" l="1"/>
  <c r="G1347" i="2" s="1"/>
  <c r="F1348" i="2" l="1"/>
  <c r="G1348" i="2" s="1"/>
  <c r="F1349" i="2" l="1"/>
  <c r="G1349" i="2" s="1"/>
  <c r="F1350" i="2" l="1"/>
  <c r="G1350" i="2" s="1"/>
  <c r="F1351" i="2" l="1"/>
  <c r="G1351" i="2" s="1"/>
  <c r="F1352" i="2" l="1"/>
  <c r="G1352" i="2" s="1"/>
  <c r="F1353" i="2" l="1"/>
  <c r="G1353" i="2" s="1"/>
  <c r="F1354" i="2" l="1"/>
  <c r="G1354" i="2" s="1"/>
  <c r="F1355" i="2" l="1"/>
  <c r="G1355" i="2" s="1"/>
  <c r="F1356" i="2" l="1"/>
  <c r="G1356" i="2" s="1"/>
  <c r="F1357" i="2" l="1"/>
  <c r="G1357" i="2" s="1"/>
  <c r="F1358" i="2" l="1"/>
  <c r="G1358" i="2" s="1"/>
  <c r="F1359" i="2" l="1"/>
  <c r="G1359" i="2" s="1"/>
  <c r="F1360" i="2" l="1"/>
  <c r="G1360" i="2" s="1"/>
  <c r="F1361" i="2" l="1"/>
  <c r="G1361" i="2" s="1"/>
  <c r="F1362" i="2" l="1"/>
  <c r="G1362" i="2" s="1"/>
  <c r="F1363" i="2" l="1"/>
  <c r="G1363" i="2" s="1"/>
  <c r="F1364" i="2" l="1"/>
  <c r="G1364" i="2" s="1"/>
  <c r="F1365" i="2" l="1"/>
  <c r="G1365" i="2" s="1"/>
  <c r="F1366" i="2" l="1"/>
  <c r="G1366" i="2" s="1"/>
  <c r="F1367" i="2" l="1"/>
  <c r="G1367" i="2" s="1"/>
  <c r="F1368" i="2" l="1"/>
  <c r="G1368" i="2" s="1"/>
  <c r="F1369" i="2" l="1"/>
  <c r="G1369" i="2" s="1"/>
  <c r="F1370" i="2" l="1"/>
  <c r="G1370" i="2" s="1"/>
  <c r="F1371" i="2" l="1"/>
  <c r="G1371" i="2" s="1"/>
  <c r="F1372" i="2" l="1"/>
  <c r="G1372" i="2" s="1"/>
  <c r="F1373" i="2" l="1"/>
  <c r="G1373" i="2" s="1"/>
  <c r="F1374" i="2" l="1"/>
  <c r="G1374" i="2" s="1"/>
  <c r="F1375" i="2" l="1"/>
  <c r="G1375" i="2" s="1"/>
  <c r="F1376" i="2" l="1"/>
  <c r="G1376" i="2" s="1"/>
  <c r="F1377" i="2" l="1"/>
  <c r="G1377" i="2" s="1"/>
  <c r="F1378" i="2" l="1"/>
  <c r="G1378" i="2" s="1"/>
  <c r="F1379" i="2" l="1"/>
  <c r="G1379" i="2" s="1"/>
  <c r="F1380" i="2" l="1"/>
  <c r="G1380" i="2" s="1"/>
  <c r="F1381" i="2" l="1"/>
  <c r="G1381" i="2" s="1"/>
  <c r="F1382" i="2" l="1"/>
  <c r="G1382" i="2" s="1"/>
  <c r="F1383" i="2" l="1"/>
  <c r="G1383" i="2" s="1"/>
  <c r="F1384" i="2" l="1"/>
  <c r="G1384" i="2" s="1"/>
  <c r="F1385" i="2" l="1"/>
  <c r="G1385" i="2" s="1"/>
  <c r="F1386" i="2" l="1"/>
  <c r="G1386" i="2" s="1"/>
  <c r="F1387" i="2" l="1"/>
  <c r="G1387" i="2" s="1"/>
  <c r="F1388" i="2" l="1"/>
  <c r="G1388" i="2" s="1"/>
  <c r="F1389" i="2" l="1"/>
  <c r="G1389" i="2" s="1"/>
  <c r="F1390" i="2" l="1"/>
  <c r="G1390" i="2" s="1"/>
  <c r="F1391" i="2" l="1"/>
  <c r="G1391" i="2" s="1"/>
  <c r="F1392" i="2" l="1"/>
  <c r="G1392" i="2" s="1"/>
  <c r="F1393" i="2" l="1"/>
  <c r="G1393" i="2" s="1"/>
  <c r="F1394" i="2" l="1"/>
  <c r="G1394" i="2" s="1"/>
  <c r="F1395" i="2" l="1"/>
  <c r="G1395" i="2" s="1"/>
  <c r="F1396" i="2" l="1"/>
  <c r="G1396" i="2" s="1"/>
  <c r="F1397" i="2" l="1"/>
  <c r="G1397" i="2" s="1"/>
  <c r="F1398" i="2" l="1"/>
  <c r="G1398" i="2" s="1"/>
  <c r="F1399" i="2" l="1"/>
  <c r="G1399" i="2" s="1"/>
  <c r="F1400" i="2" l="1"/>
  <c r="G1400" i="2" s="1"/>
  <c r="F1401" i="2" l="1"/>
  <c r="G1401" i="2" s="1"/>
  <c r="F1402" i="2" l="1"/>
  <c r="G1402" i="2" s="1"/>
  <c r="F1403" i="2" l="1"/>
  <c r="G1403" i="2" s="1"/>
  <c r="F1404" i="2" l="1"/>
  <c r="G1404" i="2" s="1"/>
  <c r="F1405" i="2" l="1"/>
  <c r="G1405" i="2" s="1"/>
  <c r="F1406" i="2" l="1"/>
  <c r="G1406" i="2" s="1"/>
  <c r="F1407" i="2" l="1"/>
  <c r="G1407" i="2" s="1"/>
  <c r="F1408" i="2" l="1"/>
  <c r="G1408" i="2" s="1"/>
  <c r="F1409" i="2" l="1"/>
  <c r="G1409" i="2" s="1"/>
  <c r="F1410" i="2" l="1"/>
  <c r="G1410" i="2" s="1"/>
  <c r="F1411" i="2" l="1"/>
  <c r="G1411" i="2" s="1"/>
  <c r="F1412" i="2" l="1"/>
  <c r="G1412" i="2" s="1"/>
  <c r="F1413" i="2" l="1"/>
  <c r="G1413" i="2" s="1"/>
  <c r="F1414" i="2" l="1"/>
  <c r="G1414" i="2" s="1"/>
  <c r="F1415" i="2" l="1"/>
  <c r="G1415" i="2" s="1"/>
  <c r="F1416" i="2" l="1"/>
  <c r="G1416" i="2" s="1"/>
  <c r="F1417" i="2" l="1"/>
  <c r="G1417" i="2" s="1"/>
  <c r="F1418" i="2" l="1"/>
  <c r="G1418" i="2" s="1"/>
  <c r="F1419" i="2" l="1"/>
  <c r="G1419" i="2" s="1"/>
  <c r="F1420" i="2" l="1"/>
  <c r="G1420" i="2" s="1"/>
  <c r="F1421" i="2" l="1"/>
  <c r="G1421" i="2" s="1"/>
  <c r="F1422" i="2" l="1"/>
  <c r="G1422" i="2" s="1"/>
  <c r="F1423" i="2" l="1"/>
  <c r="G1423" i="2" s="1"/>
  <c r="F1424" i="2" l="1"/>
  <c r="G1424" i="2" s="1"/>
  <c r="F1425" i="2" l="1"/>
  <c r="G1425" i="2" s="1"/>
  <c r="F1426" i="2" l="1"/>
  <c r="G1426" i="2" s="1"/>
  <c r="F1427" i="2" l="1"/>
  <c r="G1427" i="2" s="1"/>
  <c r="F1428" i="2" l="1"/>
  <c r="G1428" i="2" s="1"/>
  <c r="F1429" i="2" l="1"/>
  <c r="G1429" i="2" s="1"/>
  <c r="F1430" i="2" l="1"/>
  <c r="G1430" i="2" s="1"/>
  <c r="F1431" i="2" l="1"/>
  <c r="G1431" i="2" s="1"/>
  <c r="F1432" i="2" l="1"/>
  <c r="G1432" i="2" s="1"/>
  <c r="F1433" i="2" l="1"/>
  <c r="G1433" i="2" s="1"/>
  <c r="F1434" i="2" l="1"/>
  <c r="G1434" i="2" s="1"/>
  <c r="F1435" i="2" l="1"/>
  <c r="G1435" i="2" s="1"/>
  <c r="F1436" i="2" l="1"/>
  <c r="G1436" i="2" s="1"/>
  <c r="F1437" i="2" l="1"/>
  <c r="G1437" i="2" s="1"/>
  <c r="F1438" i="2" l="1"/>
  <c r="G1438" i="2" s="1"/>
  <c r="F1439" i="2" l="1"/>
  <c r="G1439" i="2" s="1"/>
  <c r="F1440" i="2" l="1"/>
  <c r="G1440" i="2" s="1"/>
  <c r="F1441" i="2" l="1"/>
  <c r="G1441" i="2" s="1"/>
  <c r="F1442" i="2" l="1"/>
  <c r="G1442" i="2" s="1"/>
  <c r="F1443" i="2" l="1"/>
  <c r="G1443" i="2" s="1"/>
  <c r="F1444" i="2" l="1"/>
  <c r="G1444" i="2" s="1"/>
  <c r="F1445" i="2" l="1"/>
  <c r="G1445" i="2" s="1"/>
  <c r="F1446" i="2" l="1"/>
  <c r="G1446" i="2" s="1"/>
  <c r="F1447" i="2" l="1"/>
  <c r="G1447" i="2" s="1"/>
  <c r="F1448" i="2" l="1"/>
  <c r="G1448" i="2" s="1"/>
  <c r="F1449" i="2" l="1"/>
  <c r="G1449" i="2" s="1"/>
  <c r="F1450" i="2" l="1"/>
  <c r="G1450" i="2" s="1"/>
  <c r="F1451" i="2" l="1"/>
  <c r="G1451" i="2" s="1"/>
  <c r="F1452" i="2" l="1"/>
  <c r="G1452" i="2" s="1"/>
  <c r="F1453" i="2" l="1"/>
  <c r="G1453" i="2" s="1"/>
  <c r="F1454" i="2" l="1"/>
  <c r="G1454" i="2" s="1"/>
  <c r="F1455" i="2" l="1"/>
  <c r="G1455" i="2" s="1"/>
  <c r="F1456" i="2" l="1"/>
  <c r="G1456" i="2" s="1"/>
  <c r="F1457" i="2" l="1"/>
  <c r="G1457" i="2" s="1"/>
  <c r="F1458" i="2" l="1"/>
  <c r="G1458" i="2" s="1"/>
  <c r="F1459" i="2" l="1"/>
  <c r="G1459" i="2" s="1"/>
  <c r="F1460" i="2" l="1"/>
  <c r="G1460" i="2" s="1"/>
  <c r="F1461" i="2" l="1"/>
  <c r="G1461" i="2" s="1"/>
  <c r="F1462" i="2" l="1"/>
  <c r="G1462" i="2" s="1"/>
  <c r="F1463" i="2" l="1"/>
  <c r="G1463" i="2" s="1"/>
  <c r="F1464" i="2" l="1"/>
  <c r="G1464" i="2" s="1"/>
  <c r="F1465" i="2" l="1"/>
  <c r="G1465" i="2" s="1"/>
  <c r="F1466" i="2" l="1"/>
  <c r="G1466" i="2" s="1"/>
  <c r="F1467" i="2" l="1"/>
  <c r="G1467" i="2" s="1"/>
  <c r="F1468" i="2" l="1"/>
  <c r="G1468" i="2" s="1"/>
  <c r="F1469" i="2" l="1"/>
  <c r="G1469" i="2" s="1"/>
  <c r="F1470" i="2" l="1"/>
  <c r="G1470" i="2" s="1"/>
  <c r="F1471" i="2" l="1"/>
  <c r="G1471" i="2" s="1"/>
  <c r="F1472" i="2" l="1"/>
  <c r="G1472" i="2" s="1"/>
  <c r="F1473" i="2" l="1"/>
  <c r="G1473" i="2" s="1"/>
  <c r="F1474" i="2" l="1"/>
  <c r="G1474" i="2" s="1"/>
  <c r="F1475" i="2" l="1"/>
  <c r="G1475" i="2" s="1"/>
  <c r="F1476" i="2" l="1"/>
  <c r="G1476" i="2" s="1"/>
  <c r="F1477" i="2" l="1"/>
  <c r="G1477" i="2" s="1"/>
  <c r="F1478" i="2" l="1"/>
  <c r="G1478" i="2" s="1"/>
  <c r="F1479" i="2" l="1"/>
  <c r="G1479" i="2" s="1"/>
  <c r="F1480" i="2" l="1"/>
  <c r="G1480" i="2" s="1"/>
  <c r="F1481" i="2" l="1"/>
  <c r="G1481" i="2" s="1"/>
  <c r="F1482" i="2" l="1"/>
  <c r="G1482" i="2" s="1"/>
  <c r="F1483" i="2" l="1"/>
  <c r="G1483" i="2" s="1"/>
  <c r="F1484" i="2" l="1"/>
  <c r="G1484" i="2" s="1"/>
  <c r="F1485" i="2" l="1"/>
  <c r="G1485" i="2" s="1"/>
  <c r="F1486" i="2" l="1"/>
  <c r="G1486" i="2" s="1"/>
  <c r="F1487" i="2" l="1"/>
  <c r="G1487" i="2" s="1"/>
  <c r="F1488" i="2" l="1"/>
  <c r="G1488" i="2" s="1"/>
  <c r="F1489" i="2" l="1"/>
  <c r="G1489" i="2" s="1"/>
  <c r="F1490" i="2" l="1"/>
  <c r="G1490" i="2" s="1"/>
  <c r="F1491" i="2" l="1"/>
  <c r="G1491" i="2" s="1"/>
  <c r="F1492" i="2" l="1"/>
  <c r="G1492" i="2" s="1"/>
  <c r="F1493" i="2" l="1"/>
  <c r="G1493" i="2" s="1"/>
  <c r="F1494" i="2" l="1"/>
  <c r="G1494" i="2" s="1"/>
  <c r="F1495" i="2" l="1"/>
  <c r="G1495" i="2" s="1"/>
  <c r="F1496" i="2" l="1"/>
  <c r="G1496" i="2" s="1"/>
  <c r="F1497" i="2" l="1"/>
  <c r="G1497" i="2" s="1"/>
  <c r="F1498" i="2" l="1"/>
  <c r="G1498" i="2" s="1"/>
  <c r="F1499" i="2" l="1"/>
  <c r="G1499" i="2" s="1"/>
  <c r="F1500" i="2" l="1"/>
  <c r="G1500" i="2" s="1"/>
  <c r="F1501" i="2" l="1"/>
  <c r="G1501" i="2" s="1"/>
  <c r="F1502" i="2" l="1"/>
  <c r="G1502" i="2" s="1"/>
  <c r="F1503" i="2" l="1"/>
  <c r="G1503" i="2" s="1"/>
  <c r="F1504" i="2" l="1"/>
  <c r="G1504" i="2" s="1"/>
  <c r="F1505" i="2" l="1"/>
  <c r="G1505" i="2" s="1"/>
  <c r="F1506" i="2" l="1"/>
  <c r="G1506" i="2" s="1"/>
  <c r="F1507" i="2" l="1"/>
  <c r="G1507" i="2" s="1"/>
  <c r="F1508" i="2" l="1"/>
  <c r="G1508" i="2" s="1"/>
  <c r="F1509" i="2" l="1"/>
  <c r="G1509" i="2" s="1"/>
  <c r="F1510" i="2" l="1"/>
  <c r="G1510" i="2" s="1"/>
  <c r="F1511" i="2" l="1"/>
  <c r="G1511" i="2" s="1"/>
  <c r="F1512" i="2" l="1"/>
  <c r="G1512" i="2" s="1"/>
  <c r="F1513" i="2" l="1"/>
  <c r="G1513" i="2" s="1"/>
  <c r="F1514" i="2" l="1"/>
  <c r="G1514" i="2" s="1"/>
  <c r="F1515" i="2" l="1"/>
  <c r="G1515" i="2" s="1"/>
  <c r="F1516" i="2" l="1"/>
  <c r="G1516" i="2" s="1"/>
  <c r="F1517" i="2" l="1"/>
  <c r="G1517" i="2" s="1"/>
  <c r="F1518" i="2" l="1"/>
  <c r="G1518" i="2" s="1"/>
  <c r="F1519" i="2" l="1"/>
  <c r="G1519" i="2" s="1"/>
  <c r="F1520" i="2" l="1"/>
  <c r="G1520" i="2" s="1"/>
  <c r="F1521" i="2" l="1"/>
  <c r="G1521" i="2" s="1"/>
  <c r="F1522" i="2" l="1"/>
  <c r="G1522" i="2" s="1"/>
  <c r="F1523" i="2" l="1"/>
  <c r="G1523" i="2" s="1"/>
  <c r="F1524" i="2" l="1"/>
  <c r="G1524" i="2" s="1"/>
  <c r="F1525" i="2" l="1"/>
  <c r="G1525" i="2" s="1"/>
  <c r="F1526" i="2" l="1"/>
  <c r="G1526" i="2" s="1"/>
  <c r="F1527" i="2" l="1"/>
  <c r="G1527" i="2" s="1"/>
  <c r="F1528" i="2" l="1"/>
  <c r="G1528" i="2" s="1"/>
  <c r="F1529" i="2" l="1"/>
  <c r="G1529" i="2" s="1"/>
  <c r="F1530" i="2" l="1"/>
  <c r="G1530" i="2" s="1"/>
  <c r="F1531" i="2" l="1"/>
  <c r="G1531" i="2" s="1"/>
  <c r="F1532" i="2" l="1"/>
  <c r="G1532" i="2" s="1"/>
  <c r="F1533" i="2" l="1"/>
  <c r="G1533" i="2" s="1"/>
  <c r="F1534" i="2" l="1"/>
  <c r="G1534" i="2" s="1"/>
  <c r="F1535" i="2" l="1"/>
  <c r="G1535" i="2" s="1"/>
  <c r="F1536" i="2" l="1"/>
  <c r="G1536" i="2" s="1"/>
  <c r="F1537" i="2" l="1"/>
  <c r="G1537" i="2" s="1"/>
  <c r="F1538" i="2" l="1"/>
  <c r="G1538" i="2" s="1"/>
  <c r="F1539" i="2" l="1"/>
  <c r="G1539" i="2" s="1"/>
  <c r="F1540" i="2" l="1"/>
  <c r="G1540" i="2" s="1"/>
  <c r="F1541" i="2" l="1"/>
  <c r="G1541" i="2" s="1"/>
  <c r="F1542" i="2" l="1"/>
  <c r="G1542" i="2" s="1"/>
  <c r="F1543" i="2" l="1"/>
  <c r="G1543" i="2" s="1"/>
  <c r="F1544" i="2" l="1"/>
  <c r="G1544" i="2" s="1"/>
  <c r="F1545" i="2" l="1"/>
  <c r="G1545" i="2" s="1"/>
  <c r="F1546" i="2" l="1"/>
  <c r="G1546" i="2" s="1"/>
  <c r="F1547" i="2" l="1"/>
  <c r="G1547" i="2" s="1"/>
  <c r="F1548" i="2" l="1"/>
  <c r="G1548" i="2" s="1"/>
  <c r="F1549" i="2" l="1"/>
  <c r="G1549" i="2" s="1"/>
  <c r="F1550" i="2" l="1"/>
  <c r="G1550" i="2" s="1"/>
  <c r="F1551" i="2" l="1"/>
  <c r="G1551" i="2" s="1"/>
  <c r="F1552" i="2" l="1"/>
  <c r="G1552" i="2" s="1"/>
  <c r="F1553" i="2" l="1"/>
  <c r="G1553" i="2" s="1"/>
  <c r="F1554" i="2" l="1"/>
  <c r="G1554" i="2" s="1"/>
  <c r="F1555" i="2" l="1"/>
  <c r="G1555" i="2" s="1"/>
  <c r="F1556" i="2" l="1"/>
  <c r="G1556" i="2" s="1"/>
  <c r="F1557" i="2" l="1"/>
  <c r="G1557" i="2" s="1"/>
  <c r="F1558" i="2" l="1"/>
  <c r="G1558" i="2" s="1"/>
  <c r="F1559" i="2" l="1"/>
  <c r="G1559" i="2" s="1"/>
  <c r="F1560" i="2" l="1"/>
  <c r="G1560" i="2" s="1"/>
  <c r="F1561" i="2" l="1"/>
  <c r="G1561" i="2" s="1"/>
  <c r="F1562" i="2" l="1"/>
  <c r="G1562" i="2" s="1"/>
  <c r="F1563" i="2" l="1"/>
  <c r="G1563" i="2" s="1"/>
  <c r="F1564" i="2" l="1"/>
  <c r="G1564" i="2" s="1"/>
  <c r="F1565" i="2" l="1"/>
  <c r="G1565" i="2" s="1"/>
  <c r="F1566" i="2" l="1"/>
  <c r="G1566" i="2" s="1"/>
  <c r="F1567" i="2" l="1"/>
  <c r="G1567" i="2" s="1"/>
  <c r="F1568" i="2" l="1"/>
  <c r="G1568" i="2" s="1"/>
  <c r="F1569" i="2" l="1"/>
  <c r="G1569" i="2" s="1"/>
  <c r="F1570" i="2" l="1"/>
  <c r="G1570" i="2" s="1"/>
  <c r="F1571" i="2" l="1"/>
  <c r="G1571" i="2" s="1"/>
  <c r="F1572" i="2" l="1"/>
  <c r="G1572" i="2" s="1"/>
  <c r="F1573" i="2" l="1"/>
  <c r="G1573" i="2" s="1"/>
  <c r="F1574" i="2" l="1"/>
  <c r="G1574" i="2" s="1"/>
  <c r="F1575" i="2" l="1"/>
  <c r="G1575" i="2" s="1"/>
  <c r="F1576" i="2" l="1"/>
  <c r="G1576" i="2" s="1"/>
  <c r="F1577" i="2" l="1"/>
  <c r="G1577" i="2" s="1"/>
  <c r="F1578" i="2" l="1"/>
  <c r="G1578" i="2" s="1"/>
  <c r="F1579" i="2" l="1"/>
  <c r="G1579" i="2" s="1"/>
  <c r="F1580" i="2" l="1"/>
  <c r="G1580" i="2" s="1"/>
  <c r="F1581" i="2" l="1"/>
  <c r="G1581" i="2" s="1"/>
  <c r="F1582" i="2" l="1"/>
  <c r="G1582" i="2" s="1"/>
  <c r="F1583" i="2" l="1"/>
  <c r="G1583" i="2" s="1"/>
  <c r="F1584" i="2" l="1"/>
  <c r="G1584" i="2" s="1"/>
  <c r="F1585" i="2" l="1"/>
  <c r="G1585" i="2" s="1"/>
  <c r="F1586" i="2" l="1"/>
  <c r="G1586" i="2" s="1"/>
  <c r="F1587" i="2" l="1"/>
  <c r="G1587" i="2" s="1"/>
  <c r="F1588" i="2" l="1"/>
  <c r="G1588" i="2" s="1"/>
  <c r="F1589" i="2" l="1"/>
  <c r="G1589" i="2" s="1"/>
  <c r="F1590" i="2" l="1"/>
  <c r="G1590" i="2" s="1"/>
  <c r="F1591" i="2" l="1"/>
  <c r="G1591" i="2" s="1"/>
  <c r="F1592" i="2" l="1"/>
  <c r="G1592" i="2" s="1"/>
  <c r="F1593" i="2" l="1"/>
  <c r="G1593" i="2" s="1"/>
  <c r="F1594" i="2" l="1"/>
  <c r="G1594" i="2" s="1"/>
  <c r="F1595" i="2" l="1"/>
  <c r="G1595" i="2" s="1"/>
  <c r="F1596" i="2" l="1"/>
  <c r="G1596" i="2" s="1"/>
  <c r="F1597" i="2" l="1"/>
  <c r="G1597" i="2" s="1"/>
  <c r="F1598" i="2" l="1"/>
  <c r="G1598" i="2" s="1"/>
  <c r="F1599" i="2" l="1"/>
  <c r="G1599" i="2" s="1"/>
  <c r="F1600" i="2" l="1"/>
  <c r="G1600" i="2" s="1"/>
  <c r="F1601" i="2" l="1"/>
  <c r="G1601" i="2" s="1"/>
  <c r="F1602" i="2" l="1"/>
  <c r="G1602" i="2" s="1"/>
  <c r="F1603" i="2" l="1"/>
  <c r="G1603" i="2" s="1"/>
  <c r="F1604" i="2" l="1"/>
  <c r="G1604" i="2" s="1"/>
  <c r="F1605" i="2" l="1"/>
  <c r="G1605" i="2" s="1"/>
  <c r="F1606" i="2" l="1"/>
  <c r="G1606" i="2" s="1"/>
  <c r="F1607" i="2" l="1"/>
  <c r="G1607" i="2" s="1"/>
  <c r="F1608" i="2" l="1"/>
  <c r="G1608" i="2" s="1"/>
  <c r="F1609" i="2" l="1"/>
  <c r="G1609" i="2" s="1"/>
  <c r="F1610" i="2" l="1"/>
  <c r="G1610" i="2" s="1"/>
  <c r="F1611" i="2" l="1"/>
  <c r="G1611" i="2" s="1"/>
  <c r="F1612" i="2" l="1"/>
  <c r="G1612" i="2" s="1"/>
  <c r="F1613" i="2" l="1"/>
  <c r="G1613" i="2" s="1"/>
  <c r="F1614" i="2" l="1"/>
  <c r="G1614" i="2" s="1"/>
  <c r="F1615" i="2" l="1"/>
  <c r="G1615" i="2" s="1"/>
  <c r="F1616" i="2" l="1"/>
  <c r="G1616" i="2" s="1"/>
  <c r="F1617" i="2" l="1"/>
  <c r="G1617" i="2" s="1"/>
  <c r="F1618" i="2" l="1"/>
  <c r="G1618" i="2" s="1"/>
  <c r="F1619" i="2" l="1"/>
  <c r="G1619" i="2" s="1"/>
  <c r="F1620" i="2" l="1"/>
  <c r="G1620" i="2" s="1"/>
  <c r="F1621" i="2" l="1"/>
  <c r="G1621" i="2" s="1"/>
  <c r="F1622" i="2" l="1"/>
  <c r="G1622" i="2" s="1"/>
  <c r="F1623" i="2" l="1"/>
  <c r="G1623" i="2" s="1"/>
  <c r="F1624" i="2" l="1"/>
  <c r="G1624" i="2" s="1"/>
  <c r="F1625" i="2" l="1"/>
  <c r="G1625" i="2" s="1"/>
  <c r="F1626" i="2" l="1"/>
  <c r="G1626" i="2" s="1"/>
  <c r="F1627" i="2" l="1"/>
  <c r="G1627" i="2" s="1"/>
  <c r="F1628" i="2" l="1"/>
  <c r="G1628" i="2" s="1"/>
  <c r="F1629" i="2" l="1"/>
  <c r="G1629" i="2" s="1"/>
  <c r="F1630" i="2" l="1"/>
  <c r="G1630" i="2" s="1"/>
  <c r="F1631" i="2" l="1"/>
  <c r="G1631" i="2" s="1"/>
  <c r="F1632" i="2" l="1"/>
  <c r="G1632" i="2" s="1"/>
  <c r="F1633" i="2" l="1"/>
  <c r="G1633" i="2" s="1"/>
  <c r="F1634" i="2" l="1"/>
  <c r="G1634" i="2" s="1"/>
  <c r="F1635" i="2" l="1"/>
  <c r="G1635" i="2" s="1"/>
  <c r="F1636" i="2" l="1"/>
  <c r="G1636" i="2" s="1"/>
  <c r="F1637" i="2" l="1"/>
  <c r="G1637" i="2" s="1"/>
  <c r="F1638" i="2" l="1"/>
  <c r="G1638" i="2" s="1"/>
  <c r="F1639" i="2" l="1"/>
  <c r="G1639" i="2" s="1"/>
  <c r="F1640" i="2" l="1"/>
  <c r="G1640" i="2" s="1"/>
  <c r="F1641" i="2" l="1"/>
  <c r="G1641" i="2" s="1"/>
  <c r="F1642" i="2" l="1"/>
  <c r="G1642" i="2" s="1"/>
  <c r="F1643" i="2" l="1"/>
  <c r="G1643" i="2" s="1"/>
  <c r="F1644" i="2" l="1"/>
  <c r="G1644" i="2" s="1"/>
  <c r="F1645" i="2" l="1"/>
  <c r="G1645" i="2" s="1"/>
  <c r="F1646" i="2" l="1"/>
  <c r="G1646" i="2" s="1"/>
  <c r="F1647" i="2" l="1"/>
  <c r="G1647" i="2" s="1"/>
  <c r="F1648" i="2" l="1"/>
  <c r="G1648" i="2" s="1"/>
  <c r="F1649" i="2" l="1"/>
  <c r="G1649" i="2" s="1"/>
  <c r="F1650" i="2" l="1"/>
  <c r="G1650" i="2" s="1"/>
  <c r="F1651" i="2" l="1"/>
  <c r="G1651" i="2" s="1"/>
  <c r="F1652" i="2" l="1"/>
  <c r="G1652" i="2" s="1"/>
  <c r="F1653" i="2" l="1"/>
  <c r="G1653" i="2" s="1"/>
  <c r="F1654" i="2" l="1"/>
  <c r="G1654" i="2" s="1"/>
  <c r="F1655" i="2" l="1"/>
  <c r="G1655" i="2" s="1"/>
  <c r="F1656" i="2" l="1"/>
  <c r="G1656" i="2" s="1"/>
  <c r="F1657" i="2" l="1"/>
  <c r="G1657" i="2" s="1"/>
  <c r="F1658" i="2" l="1"/>
  <c r="G1658" i="2" s="1"/>
  <c r="F1659" i="2" l="1"/>
  <c r="G1659" i="2" s="1"/>
  <c r="F1660" i="2" l="1"/>
  <c r="G1660" i="2" s="1"/>
  <c r="F1661" i="2" l="1"/>
  <c r="G1661" i="2" s="1"/>
  <c r="F1662" i="2" l="1"/>
  <c r="G1662" i="2" s="1"/>
  <c r="F1663" i="2" l="1"/>
  <c r="G1663" i="2" s="1"/>
  <c r="F1664" i="2" l="1"/>
  <c r="G1664" i="2" s="1"/>
  <c r="F1665" i="2" l="1"/>
  <c r="G1665" i="2" s="1"/>
  <c r="F1666" i="2" l="1"/>
  <c r="G1666" i="2" s="1"/>
  <c r="F1667" i="2" l="1"/>
  <c r="G1667" i="2" s="1"/>
  <c r="F1668" i="2" l="1"/>
  <c r="G1668" i="2" s="1"/>
  <c r="F1669" i="2" l="1"/>
  <c r="G1669" i="2" s="1"/>
  <c r="F1670" i="2" l="1"/>
  <c r="G1670" i="2" s="1"/>
  <c r="F1671" i="2" l="1"/>
  <c r="G1671" i="2" s="1"/>
  <c r="F1672" i="2" l="1"/>
  <c r="G1672" i="2" s="1"/>
  <c r="F1673" i="2" l="1"/>
  <c r="G1673" i="2" s="1"/>
  <c r="F1674" i="2" l="1"/>
  <c r="G1674" i="2" s="1"/>
  <c r="F1675" i="2" l="1"/>
  <c r="G1675" i="2" s="1"/>
  <c r="F1676" i="2" l="1"/>
  <c r="G1676" i="2" s="1"/>
  <c r="F1677" i="2" l="1"/>
  <c r="G1677" i="2" s="1"/>
  <c r="F1678" i="2" l="1"/>
  <c r="G1678" i="2" s="1"/>
  <c r="F1679" i="2" l="1"/>
  <c r="G1679" i="2" s="1"/>
  <c r="F1680" i="2" l="1"/>
  <c r="G1680" i="2" s="1"/>
  <c r="F1681" i="2" l="1"/>
  <c r="G1681" i="2" s="1"/>
  <c r="F1682" i="2" l="1"/>
  <c r="G1682" i="2" s="1"/>
  <c r="F1683" i="2" l="1"/>
  <c r="G1683" i="2" s="1"/>
  <c r="F1684" i="2" l="1"/>
  <c r="G1684" i="2" s="1"/>
  <c r="F1685" i="2" l="1"/>
  <c r="G1685" i="2" s="1"/>
  <c r="F1686" i="2" l="1"/>
  <c r="G1686" i="2" s="1"/>
  <c r="F1687" i="2" l="1"/>
  <c r="G1687" i="2" s="1"/>
  <c r="F1688" i="2" l="1"/>
  <c r="G1688" i="2" s="1"/>
  <c r="F1689" i="2" l="1"/>
  <c r="G1689" i="2" s="1"/>
  <c r="F1690" i="2" l="1"/>
  <c r="G1690" i="2" s="1"/>
  <c r="F1691" i="2" l="1"/>
  <c r="G1691" i="2" s="1"/>
  <c r="F1692" i="2" l="1"/>
  <c r="G1692" i="2" s="1"/>
  <c r="F1693" i="2" l="1"/>
  <c r="G1693" i="2" s="1"/>
  <c r="F1694" i="2" l="1"/>
  <c r="G1694" i="2" s="1"/>
  <c r="F1695" i="2" l="1"/>
  <c r="G1695" i="2" s="1"/>
  <c r="F1696" i="2" l="1"/>
  <c r="G1696" i="2" s="1"/>
  <c r="F1697" i="2" l="1"/>
  <c r="G1697" i="2" s="1"/>
  <c r="F1698" i="2" l="1"/>
  <c r="G1698" i="2" s="1"/>
  <c r="F1699" i="2" l="1"/>
  <c r="G1699" i="2" s="1"/>
  <c r="F1700" i="2" l="1"/>
  <c r="G1700" i="2" s="1"/>
  <c r="F1701" i="2" l="1"/>
  <c r="G1701" i="2" s="1"/>
  <c r="F1702" i="2" l="1"/>
  <c r="G1702" i="2" s="1"/>
  <c r="F1703" i="2" l="1"/>
  <c r="G1703" i="2" s="1"/>
  <c r="F1704" i="2" l="1"/>
  <c r="G1704" i="2" s="1"/>
  <c r="F1705" i="2" l="1"/>
  <c r="G1705" i="2" s="1"/>
  <c r="F1706" i="2" l="1"/>
  <c r="G1706" i="2" s="1"/>
  <c r="F1707" i="2" l="1"/>
  <c r="G1707" i="2" s="1"/>
  <c r="F1708" i="2" l="1"/>
  <c r="G1708" i="2" s="1"/>
  <c r="F1709" i="2" l="1"/>
  <c r="G1709" i="2" s="1"/>
  <c r="F1710" i="2" l="1"/>
  <c r="G1710" i="2" s="1"/>
  <c r="F1711" i="2" l="1"/>
  <c r="G1711" i="2" s="1"/>
  <c r="F1712" i="2" l="1"/>
  <c r="G1712" i="2" s="1"/>
  <c r="F1713" i="2" l="1"/>
  <c r="G1713" i="2" s="1"/>
  <c r="F1714" i="2" l="1"/>
  <c r="G1714" i="2" s="1"/>
  <c r="F1715" i="2" l="1"/>
  <c r="G1715" i="2" s="1"/>
  <c r="F1716" i="2" l="1"/>
  <c r="G1716" i="2" s="1"/>
  <c r="F1717" i="2" l="1"/>
  <c r="G1717" i="2" s="1"/>
  <c r="F1718" i="2" l="1"/>
  <c r="G1718" i="2" s="1"/>
  <c r="F1719" i="2" l="1"/>
  <c r="G1719" i="2" s="1"/>
  <c r="F1720" i="2" l="1"/>
  <c r="G1720" i="2" s="1"/>
  <c r="F1721" i="2" l="1"/>
  <c r="G1721" i="2" s="1"/>
  <c r="F1722" i="2" l="1"/>
  <c r="G1722" i="2" s="1"/>
  <c r="F1723" i="2" l="1"/>
  <c r="G1723" i="2" s="1"/>
  <c r="F1724" i="2" l="1"/>
  <c r="G1724" i="2" s="1"/>
  <c r="F1725" i="2" l="1"/>
  <c r="G1725" i="2" s="1"/>
  <c r="F1726" i="2" l="1"/>
  <c r="G1726" i="2" s="1"/>
  <c r="F1727" i="2" l="1"/>
  <c r="G1727" i="2" s="1"/>
  <c r="F1728" i="2" l="1"/>
  <c r="G1728" i="2" s="1"/>
  <c r="F1729" i="2" l="1"/>
  <c r="G1729" i="2" s="1"/>
  <c r="F1730" i="2" l="1"/>
  <c r="G1730" i="2" s="1"/>
  <c r="F1731" i="2" l="1"/>
  <c r="G1731" i="2" s="1"/>
  <c r="F1732" i="2" l="1"/>
  <c r="G1732" i="2" s="1"/>
  <c r="F1733" i="2" l="1"/>
  <c r="G1733" i="2" s="1"/>
  <c r="F1734" i="2" l="1"/>
  <c r="G1734" i="2" s="1"/>
  <c r="F1735" i="2" l="1"/>
  <c r="G1735" i="2" s="1"/>
  <c r="F1736" i="2" l="1"/>
  <c r="G1736" i="2" s="1"/>
  <c r="F1737" i="2" l="1"/>
  <c r="G1737" i="2" s="1"/>
  <c r="F1738" i="2" l="1"/>
  <c r="G1738" i="2" s="1"/>
  <c r="F1739" i="2" l="1"/>
  <c r="G1739" i="2" s="1"/>
  <c r="F1740" i="2" l="1"/>
  <c r="G1740" i="2" s="1"/>
  <c r="F1741" i="2" l="1"/>
  <c r="G1741" i="2" s="1"/>
  <c r="F1742" i="2" l="1"/>
  <c r="G1742" i="2" s="1"/>
  <c r="F1743" i="2" l="1"/>
  <c r="G1743" i="2" s="1"/>
  <c r="F1744" i="2" l="1"/>
  <c r="G1744" i="2" s="1"/>
  <c r="F1745" i="2" l="1"/>
  <c r="G1745" i="2" s="1"/>
  <c r="F1746" i="2" l="1"/>
  <c r="G1746" i="2" s="1"/>
  <c r="F1747" i="2" l="1"/>
  <c r="G1747" i="2" s="1"/>
  <c r="F1748" i="2" l="1"/>
  <c r="G1748" i="2" s="1"/>
  <c r="F1749" i="2" l="1"/>
  <c r="G1749" i="2" s="1"/>
  <c r="F1750" i="2" l="1"/>
  <c r="G1750" i="2" s="1"/>
  <c r="F1751" i="2" l="1"/>
  <c r="G1751" i="2" s="1"/>
  <c r="F1752" i="2" l="1"/>
  <c r="G1752" i="2" s="1"/>
  <c r="F1753" i="2" l="1"/>
  <c r="G1753" i="2" s="1"/>
  <c r="F1754" i="2" l="1"/>
  <c r="G1754" i="2" s="1"/>
  <c r="F1755" i="2" l="1"/>
  <c r="G1755" i="2" s="1"/>
  <c r="F1756" i="2" l="1"/>
  <c r="G1756" i="2" s="1"/>
  <c r="F1757" i="2" l="1"/>
  <c r="G1757" i="2" s="1"/>
  <c r="F1758" i="2" l="1"/>
  <c r="G1758" i="2" s="1"/>
  <c r="F1759" i="2" l="1"/>
  <c r="G1759" i="2" s="1"/>
  <c r="F1760" i="2" l="1"/>
  <c r="G1760" i="2" s="1"/>
  <c r="F1761" i="2" l="1"/>
  <c r="G1761" i="2" s="1"/>
  <c r="F1762" i="2" l="1"/>
  <c r="G1762" i="2" s="1"/>
  <c r="F1763" i="2" l="1"/>
  <c r="G1763" i="2" s="1"/>
  <c r="F1764" i="2" l="1"/>
  <c r="G1764" i="2" s="1"/>
  <c r="F1765" i="2" l="1"/>
  <c r="G1765" i="2" s="1"/>
  <c r="F1766" i="2" l="1"/>
  <c r="G1766" i="2" s="1"/>
  <c r="F1767" i="2" l="1"/>
  <c r="G1767" i="2" s="1"/>
  <c r="F1768" i="2" l="1"/>
  <c r="G1768" i="2" s="1"/>
  <c r="F1769" i="2" l="1"/>
  <c r="G1769" i="2" s="1"/>
  <c r="F1770" i="2" l="1"/>
  <c r="G1770" i="2" s="1"/>
  <c r="F1771" i="2" l="1"/>
  <c r="G1771" i="2" s="1"/>
  <c r="F1772" i="2" l="1"/>
  <c r="G1772" i="2" s="1"/>
  <c r="F1773" i="2" l="1"/>
  <c r="G1773" i="2" s="1"/>
  <c r="F1774" i="2" l="1"/>
  <c r="G1774" i="2" s="1"/>
  <c r="F1775" i="2" l="1"/>
  <c r="G1775" i="2" s="1"/>
  <c r="F1776" i="2" l="1"/>
  <c r="G1776" i="2" s="1"/>
  <c r="F1777" i="2" l="1"/>
  <c r="G1777" i="2" s="1"/>
  <c r="F1778" i="2" l="1"/>
  <c r="G1778" i="2" s="1"/>
  <c r="F1779" i="2" l="1"/>
  <c r="G1779" i="2" s="1"/>
  <c r="F1780" i="2" l="1"/>
  <c r="G1780" i="2" s="1"/>
  <c r="F1781" i="2" l="1"/>
  <c r="G1781" i="2" s="1"/>
  <c r="F1782" i="2" l="1"/>
  <c r="G1782" i="2" s="1"/>
  <c r="F1783" i="2" l="1"/>
  <c r="G1783" i="2" s="1"/>
  <c r="F1784" i="2" l="1"/>
  <c r="G1784" i="2" s="1"/>
  <c r="F1785" i="2" l="1"/>
  <c r="G1785" i="2" s="1"/>
  <c r="F1786" i="2" l="1"/>
  <c r="G1786" i="2" s="1"/>
  <c r="F1787" i="2" l="1"/>
  <c r="G1787" i="2" s="1"/>
  <c r="F1788" i="2" l="1"/>
  <c r="G1788" i="2" s="1"/>
  <c r="F1789" i="2" l="1"/>
  <c r="G1789" i="2" s="1"/>
  <c r="F1790" i="2" l="1"/>
  <c r="G1790" i="2" s="1"/>
  <c r="F1791" i="2" l="1"/>
  <c r="G1791" i="2" s="1"/>
  <c r="F1792" i="2" l="1"/>
  <c r="G1792" i="2" s="1"/>
  <c r="F1793" i="2" l="1"/>
  <c r="G1793" i="2" s="1"/>
  <c r="F1794" i="2" l="1"/>
  <c r="G1794" i="2" s="1"/>
  <c r="F1795" i="2" l="1"/>
  <c r="G1795" i="2" s="1"/>
  <c r="F1796" i="2" l="1"/>
  <c r="G1796" i="2" s="1"/>
  <c r="F1797" i="2" l="1"/>
  <c r="G1797" i="2" s="1"/>
  <c r="F1798" i="2" l="1"/>
  <c r="G1798" i="2" s="1"/>
  <c r="F1799" i="2" l="1"/>
  <c r="G1799" i="2" s="1"/>
  <c r="F1800" i="2" l="1"/>
  <c r="G1800" i="2" s="1"/>
  <c r="F1801" i="2" l="1"/>
  <c r="G1801" i="2" s="1"/>
  <c r="F1802" i="2" l="1"/>
  <c r="G1802" i="2" s="1"/>
  <c r="F1803" i="2" l="1"/>
  <c r="G1803" i="2" s="1"/>
  <c r="F1804" i="2" l="1"/>
  <c r="G1804" i="2" s="1"/>
  <c r="F1805" i="2" l="1"/>
  <c r="G1805" i="2" s="1"/>
  <c r="F1806" i="2" l="1"/>
  <c r="G1806" i="2" s="1"/>
  <c r="F1807" i="2" l="1"/>
  <c r="G1807" i="2" s="1"/>
  <c r="F1808" i="2" l="1"/>
  <c r="G1808" i="2" s="1"/>
  <c r="F1809" i="2" l="1"/>
  <c r="G1809" i="2" s="1"/>
  <c r="F1810" i="2" l="1"/>
  <c r="G1810" i="2" s="1"/>
  <c r="F1811" i="2" l="1"/>
  <c r="G1811" i="2" s="1"/>
  <c r="F1812" i="2" l="1"/>
  <c r="G1812" i="2" s="1"/>
  <c r="F1813" i="2" l="1"/>
  <c r="G1813" i="2" s="1"/>
  <c r="F1814" i="2" l="1"/>
  <c r="G1814" i="2" s="1"/>
  <c r="F1815" i="2" l="1"/>
  <c r="G1815" i="2" s="1"/>
  <c r="F1816" i="2" l="1"/>
  <c r="G1816" i="2" s="1"/>
  <c r="F1817" i="2" l="1"/>
  <c r="G1817" i="2" s="1"/>
  <c r="F1818" i="2" l="1"/>
  <c r="G1818" i="2" s="1"/>
  <c r="F1819" i="2" l="1"/>
  <c r="G1819" i="2" s="1"/>
  <c r="F1820" i="2" l="1"/>
  <c r="G1820" i="2" s="1"/>
  <c r="F1821" i="2" l="1"/>
  <c r="G1821" i="2" s="1"/>
  <c r="F1822" i="2" l="1"/>
  <c r="G1822" i="2" s="1"/>
  <c r="F1823" i="2" l="1"/>
  <c r="G1823" i="2" s="1"/>
  <c r="F1824" i="2" l="1"/>
  <c r="G1824" i="2" s="1"/>
  <c r="F1825" i="2" l="1"/>
  <c r="G1825" i="2" s="1"/>
  <c r="F1826" i="2" l="1"/>
  <c r="G1826" i="2" s="1"/>
  <c r="F1827" i="2" l="1"/>
  <c r="G1827" i="2" s="1"/>
  <c r="F1828" i="2" l="1"/>
  <c r="G1828" i="2" s="1"/>
  <c r="F1829" i="2" l="1"/>
  <c r="G1829" i="2" s="1"/>
  <c r="F1830" i="2" l="1"/>
  <c r="G1830" i="2" s="1"/>
  <c r="F1831" i="2" l="1"/>
  <c r="G1831" i="2" s="1"/>
  <c r="F1832" i="2" l="1"/>
  <c r="G1832" i="2" s="1"/>
  <c r="F1833" i="2" l="1"/>
  <c r="G1833" i="2" s="1"/>
  <c r="F1834" i="2" l="1"/>
  <c r="G1834" i="2" s="1"/>
  <c r="F1835" i="2" l="1"/>
  <c r="G1835" i="2" s="1"/>
  <c r="F1836" i="2" l="1"/>
  <c r="G1836" i="2" s="1"/>
  <c r="F1837" i="2" l="1"/>
  <c r="G1837" i="2" s="1"/>
  <c r="F1838" i="2" l="1"/>
  <c r="G1838" i="2" s="1"/>
  <c r="F1839" i="2" l="1"/>
  <c r="G1839" i="2" s="1"/>
  <c r="F1840" i="2" l="1"/>
  <c r="G1840" i="2" s="1"/>
  <c r="F1841" i="2" l="1"/>
  <c r="G1841" i="2" s="1"/>
  <c r="F1842" i="2" l="1"/>
  <c r="G1842" i="2" s="1"/>
  <c r="F1843" i="2" l="1"/>
  <c r="G1843" i="2" s="1"/>
  <c r="F1844" i="2" l="1"/>
  <c r="G1844" i="2" s="1"/>
  <c r="F1845" i="2" l="1"/>
  <c r="G1845" i="2" s="1"/>
  <c r="F1846" i="2" l="1"/>
  <c r="G1846" i="2" s="1"/>
  <c r="F1847" i="2" l="1"/>
  <c r="G1847" i="2" s="1"/>
  <c r="F1848" i="2" l="1"/>
  <c r="G1848" i="2" s="1"/>
  <c r="F1849" i="2" l="1"/>
  <c r="G1849" i="2" s="1"/>
  <c r="F1850" i="2" l="1"/>
  <c r="G1850" i="2" s="1"/>
  <c r="F1851" i="2" l="1"/>
  <c r="G1851" i="2" s="1"/>
  <c r="F1852" i="2" l="1"/>
  <c r="G1852" i="2" s="1"/>
  <c r="F1853" i="2" l="1"/>
  <c r="G1853" i="2" s="1"/>
  <c r="F1854" i="2" l="1"/>
  <c r="G1854" i="2" s="1"/>
  <c r="F1855" i="2" l="1"/>
  <c r="G1855" i="2" s="1"/>
  <c r="F1856" i="2" l="1"/>
  <c r="G1856" i="2" s="1"/>
  <c r="F1857" i="2" l="1"/>
  <c r="G1857" i="2" s="1"/>
  <c r="F1858" i="2" l="1"/>
  <c r="G1858" i="2" s="1"/>
  <c r="F1859" i="2" l="1"/>
  <c r="G1859" i="2" s="1"/>
  <c r="F1860" i="2" l="1"/>
  <c r="G1860" i="2" s="1"/>
  <c r="F1861" i="2" l="1"/>
  <c r="G1861" i="2" s="1"/>
  <c r="F1862" i="2" l="1"/>
  <c r="G1862" i="2" s="1"/>
  <c r="F1863" i="2" l="1"/>
  <c r="G1863" i="2" s="1"/>
  <c r="F1864" i="2" l="1"/>
  <c r="G1864" i="2" s="1"/>
  <c r="F1865" i="2" l="1"/>
  <c r="G1865" i="2" s="1"/>
  <c r="F1866" i="2" l="1"/>
  <c r="G1866" i="2" s="1"/>
  <c r="F1867" i="2" l="1"/>
  <c r="G1867" i="2" s="1"/>
  <c r="F1868" i="2" l="1"/>
  <c r="G1868" i="2" s="1"/>
  <c r="F1869" i="2" l="1"/>
  <c r="G1869" i="2" s="1"/>
  <c r="F1870" i="2" l="1"/>
  <c r="G1870" i="2" s="1"/>
  <c r="F1871" i="2" l="1"/>
  <c r="G1871" i="2" s="1"/>
  <c r="F1872" i="2" l="1"/>
  <c r="G1872" i="2" s="1"/>
  <c r="F1873" i="2" l="1"/>
  <c r="G1873" i="2" s="1"/>
  <c r="F1874" i="2" l="1"/>
  <c r="G1874" i="2" s="1"/>
  <c r="F1875" i="2" l="1"/>
  <c r="G1875" i="2" s="1"/>
  <c r="F1876" i="2" l="1"/>
  <c r="G1876" i="2" s="1"/>
  <c r="F1877" i="2" l="1"/>
  <c r="G1877" i="2" s="1"/>
  <c r="F1878" i="2" l="1"/>
  <c r="G1878" i="2" s="1"/>
  <c r="F1879" i="2" l="1"/>
  <c r="G1879" i="2" s="1"/>
  <c r="F1880" i="2" l="1"/>
  <c r="G1880" i="2" s="1"/>
  <c r="F1881" i="2" l="1"/>
  <c r="G1881" i="2" s="1"/>
  <c r="F1882" i="2" l="1"/>
  <c r="G1882" i="2" s="1"/>
  <c r="F1883" i="2" l="1"/>
  <c r="G1883" i="2" s="1"/>
  <c r="F1884" i="2" l="1"/>
  <c r="G1884" i="2" s="1"/>
  <c r="F1885" i="2" l="1"/>
  <c r="G1885" i="2" s="1"/>
  <c r="F1886" i="2" l="1"/>
  <c r="G1886" i="2" s="1"/>
  <c r="F1887" i="2" l="1"/>
  <c r="G1887" i="2" s="1"/>
  <c r="F1888" i="2" l="1"/>
  <c r="G1888" i="2" s="1"/>
  <c r="F1889" i="2" l="1"/>
  <c r="G1889" i="2" s="1"/>
  <c r="F1890" i="2" l="1"/>
  <c r="G1890" i="2" s="1"/>
  <c r="F1891" i="2" l="1"/>
  <c r="G1891" i="2" s="1"/>
  <c r="F1892" i="2" l="1"/>
  <c r="G1892" i="2" s="1"/>
  <c r="F1893" i="2" l="1"/>
  <c r="G1893" i="2" s="1"/>
  <c r="F1894" i="2" l="1"/>
  <c r="G1894" i="2" s="1"/>
  <c r="F1895" i="2" l="1"/>
  <c r="G1895" i="2" s="1"/>
  <c r="F1896" i="2" l="1"/>
  <c r="G1896" i="2" s="1"/>
  <c r="F1897" i="2" l="1"/>
  <c r="G1897" i="2" s="1"/>
  <c r="F1898" i="2" l="1"/>
  <c r="G1898" i="2" s="1"/>
  <c r="F1899" i="2" l="1"/>
  <c r="G1899" i="2" s="1"/>
  <c r="F1900" i="2" l="1"/>
  <c r="G1900" i="2" s="1"/>
  <c r="F1901" i="2" l="1"/>
  <c r="G1901" i="2" s="1"/>
  <c r="F1902" i="2" l="1"/>
  <c r="G1902" i="2" s="1"/>
  <c r="F1903" i="2" l="1"/>
  <c r="G1903" i="2" s="1"/>
  <c r="F1904" i="2" l="1"/>
  <c r="G1904" i="2" s="1"/>
  <c r="F1905" i="2" l="1"/>
  <c r="G1905" i="2" s="1"/>
  <c r="F1906" i="2" l="1"/>
  <c r="G1906" i="2" s="1"/>
  <c r="F1907" i="2" l="1"/>
  <c r="G1907" i="2" s="1"/>
  <c r="F1908" i="2" l="1"/>
  <c r="G1908" i="2" s="1"/>
  <c r="F1909" i="2" l="1"/>
  <c r="G1909" i="2" s="1"/>
  <c r="F1910" i="2" l="1"/>
  <c r="G1910" i="2" s="1"/>
  <c r="F1911" i="2" l="1"/>
  <c r="G1911" i="2" s="1"/>
  <c r="F1912" i="2" l="1"/>
  <c r="G1912" i="2" s="1"/>
  <c r="F1913" i="2" l="1"/>
  <c r="G1913" i="2" s="1"/>
  <c r="F1914" i="2" l="1"/>
  <c r="G1914" i="2" s="1"/>
  <c r="F1915" i="2" l="1"/>
  <c r="G1915" i="2" s="1"/>
  <c r="F1916" i="2" l="1"/>
  <c r="G1916" i="2" s="1"/>
  <c r="F1917" i="2" l="1"/>
  <c r="G1917" i="2" s="1"/>
  <c r="F1918" i="2" l="1"/>
  <c r="G1918" i="2" s="1"/>
  <c r="F1919" i="2" l="1"/>
  <c r="G1919" i="2" s="1"/>
  <c r="F1920" i="2" l="1"/>
  <c r="G1920" i="2" s="1"/>
  <c r="F1921" i="2" l="1"/>
  <c r="G1921" i="2" s="1"/>
  <c r="F1922" i="2" l="1"/>
  <c r="G1922" i="2" s="1"/>
  <c r="F1923" i="2" l="1"/>
  <c r="G1923" i="2" s="1"/>
  <c r="F1924" i="2" l="1"/>
  <c r="G1924" i="2" s="1"/>
  <c r="F1925" i="2" l="1"/>
  <c r="G1925" i="2" s="1"/>
  <c r="F1926" i="2" l="1"/>
  <c r="G1926" i="2" s="1"/>
  <c r="F1927" i="2" l="1"/>
  <c r="G1927" i="2" s="1"/>
  <c r="F1928" i="2" l="1"/>
  <c r="G1928" i="2" s="1"/>
  <c r="F1929" i="2" l="1"/>
  <c r="G1929" i="2" s="1"/>
  <c r="F1930" i="2" l="1"/>
  <c r="G1930" i="2" s="1"/>
  <c r="F1931" i="2" l="1"/>
  <c r="G1931" i="2" s="1"/>
  <c r="F1932" i="2" l="1"/>
  <c r="G1932" i="2" s="1"/>
  <c r="F1933" i="2" l="1"/>
  <c r="G1933" i="2" s="1"/>
  <c r="F1934" i="2" l="1"/>
  <c r="G1934" i="2" s="1"/>
  <c r="F1935" i="2" l="1"/>
  <c r="G1935" i="2" s="1"/>
  <c r="F1936" i="2" l="1"/>
  <c r="G1936" i="2" s="1"/>
  <c r="F1937" i="2" l="1"/>
  <c r="G1937" i="2" s="1"/>
  <c r="F1938" i="2" l="1"/>
  <c r="G1938" i="2" s="1"/>
  <c r="F1939" i="2" l="1"/>
  <c r="G1939" i="2" s="1"/>
  <c r="F1940" i="2" l="1"/>
  <c r="G1940" i="2" s="1"/>
  <c r="F1941" i="2" l="1"/>
  <c r="G1941" i="2" s="1"/>
  <c r="F1942" i="2" l="1"/>
  <c r="G1942" i="2" s="1"/>
  <c r="F1943" i="2" l="1"/>
  <c r="G1943" i="2" s="1"/>
  <c r="F1944" i="2" l="1"/>
  <c r="G1944" i="2" s="1"/>
  <c r="F1945" i="2" l="1"/>
  <c r="G1945" i="2" s="1"/>
  <c r="F1946" i="2" l="1"/>
  <c r="G1946" i="2" s="1"/>
  <c r="F1947" i="2" l="1"/>
  <c r="G1947" i="2" s="1"/>
  <c r="F1948" i="2" l="1"/>
  <c r="G1948" i="2" s="1"/>
  <c r="F1949" i="2" l="1"/>
  <c r="G1949" i="2" s="1"/>
  <c r="F1950" i="2" l="1"/>
  <c r="G1950" i="2" s="1"/>
  <c r="F1951" i="2" l="1"/>
  <c r="G1951" i="2" s="1"/>
  <c r="F1952" i="2" l="1"/>
  <c r="G1952" i="2" s="1"/>
  <c r="F1953" i="2" l="1"/>
  <c r="G1953" i="2" s="1"/>
  <c r="F1954" i="2" l="1"/>
  <c r="G1954" i="2" s="1"/>
  <c r="F1955" i="2" l="1"/>
  <c r="G1955" i="2" s="1"/>
  <c r="F1956" i="2" l="1"/>
  <c r="G1956" i="2" s="1"/>
  <c r="F1957" i="2" l="1"/>
  <c r="G1957" i="2" s="1"/>
  <c r="F1958" i="2" l="1"/>
  <c r="G1958" i="2" s="1"/>
  <c r="F1959" i="2" l="1"/>
  <c r="G1959" i="2" s="1"/>
  <c r="F1960" i="2" l="1"/>
  <c r="G1960" i="2" s="1"/>
  <c r="F1961" i="2" l="1"/>
  <c r="G1961" i="2" s="1"/>
  <c r="F1962" i="2" l="1"/>
  <c r="G1962" i="2" s="1"/>
  <c r="F1963" i="2" l="1"/>
  <c r="G1963" i="2" s="1"/>
  <c r="F1964" i="2" l="1"/>
  <c r="G1964" i="2" s="1"/>
  <c r="F1965" i="2" l="1"/>
  <c r="G1965" i="2" s="1"/>
  <c r="F1966" i="2" l="1"/>
  <c r="G1966" i="2" s="1"/>
  <c r="F1967" i="2" l="1"/>
  <c r="G1967" i="2" s="1"/>
  <c r="F1968" i="2" l="1"/>
  <c r="G1968" i="2" s="1"/>
  <c r="F1969" i="2" l="1"/>
  <c r="G1969" i="2" s="1"/>
  <c r="F1970" i="2" l="1"/>
  <c r="G1970" i="2" s="1"/>
  <c r="F1971" i="2" l="1"/>
  <c r="G1971" i="2" s="1"/>
  <c r="F1972" i="2" l="1"/>
  <c r="G1972" i="2" s="1"/>
  <c r="F1973" i="2" l="1"/>
  <c r="G1973" i="2" s="1"/>
  <c r="F1974" i="2" l="1"/>
  <c r="G1974" i="2" s="1"/>
  <c r="F1975" i="2" l="1"/>
  <c r="G1975" i="2" s="1"/>
  <c r="F1976" i="2" l="1"/>
  <c r="G1976" i="2" s="1"/>
  <c r="F1977" i="2" l="1"/>
  <c r="G1977" i="2" s="1"/>
  <c r="F1978" i="2" l="1"/>
  <c r="G1978" i="2" s="1"/>
  <c r="F1979" i="2" l="1"/>
  <c r="G1979" i="2" s="1"/>
  <c r="F1980" i="2" l="1"/>
  <c r="G1980" i="2" s="1"/>
  <c r="F1981" i="2" l="1"/>
  <c r="G1981" i="2" s="1"/>
  <c r="F1982" i="2" l="1"/>
  <c r="G1982" i="2" s="1"/>
  <c r="F1983" i="2" l="1"/>
  <c r="G1983" i="2" s="1"/>
  <c r="F1984" i="2" l="1"/>
  <c r="G1984" i="2" s="1"/>
  <c r="F1985" i="2" l="1"/>
  <c r="G1985" i="2" s="1"/>
  <c r="F1986" i="2" l="1"/>
  <c r="G1986" i="2" s="1"/>
  <c r="F1987" i="2" l="1"/>
  <c r="G1987" i="2" s="1"/>
  <c r="F1988" i="2" l="1"/>
  <c r="G1988" i="2" s="1"/>
  <c r="F1989" i="2" l="1"/>
  <c r="G1989" i="2" s="1"/>
  <c r="F1990" i="2" l="1"/>
  <c r="G1990" i="2" s="1"/>
  <c r="F1991" i="2" l="1"/>
  <c r="G1991" i="2" s="1"/>
  <c r="F1992" i="2" l="1"/>
  <c r="G1992" i="2" s="1"/>
  <c r="F1993" i="2" l="1"/>
  <c r="G1993" i="2" s="1"/>
  <c r="F1994" i="2" l="1"/>
  <c r="G1994" i="2" s="1"/>
  <c r="F1995" i="2" l="1"/>
  <c r="G1995" i="2" s="1"/>
  <c r="F1996" i="2" l="1"/>
  <c r="G1996" i="2" s="1"/>
  <c r="F1997" i="2" l="1"/>
  <c r="G1997" i="2" s="1"/>
  <c r="F1998" i="2" l="1"/>
  <c r="G1998" i="2" s="1"/>
  <c r="F1999" i="2" l="1"/>
  <c r="G1999" i="2" s="1"/>
  <c r="F2000" i="2" l="1"/>
  <c r="G2000" i="2" s="1"/>
  <c r="F2001" i="2" l="1"/>
  <c r="G2001" i="2" s="1"/>
  <c r="F2002" i="2" l="1"/>
  <c r="G2002" i="2" s="1"/>
  <c r="F2003" i="2" l="1"/>
  <c r="G2003" i="2" s="1"/>
  <c r="F2004" i="2" l="1"/>
  <c r="G2004" i="2" s="1"/>
  <c r="F2005" i="2" l="1"/>
  <c r="G2005" i="2" s="1"/>
  <c r="F2006" i="2" l="1"/>
  <c r="G2006" i="2" s="1"/>
  <c r="F2007" i="2" l="1"/>
  <c r="G2007" i="2" s="1"/>
  <c r="F2008" i="2" l="1"/>
  <c r="G2008" i="2" s="1"/>
  <c r="F2009" i="2" l="1"/>
  <c r="G2009" i="2" s="1"/>
  <c r="F2010" i="2" l="1"/>
  <c r="G2010" i="2" s="1"/>
  <c r="F2011" i="2" l="1"/>
  <c r="G2011" i="2" s="1"/>
  <c r="F2012" i="2" l="1"/>
  <c r="G2012" i="2" s="1"/>
  <c r="F2013" i="2" l="1"/>
  <c r="G2013" i="2" s="1"/>
  <c r="F2014" i="2" l="1"/>
  <c r="G2014" i="2" s="1"/>
  <c r="F2015" i="2" l="1"/>
  <c r="G2015" i="2" s="1"/>
  <c r="F2016" i="2" l="1"/>
  <c r="G2016" i="2" s="1"/>
  <c r="F2017" i="2" l="1"/>
  <c r="G2017" i="2" s="1"/>
  <c r="F2018" i="2" l="1"/>
  <c r="G2018" i="2" s="1"/>
  <c r="F2019" i="2" l="1"/>
  <c r="G2019" i="2" s="1"/>
  <c r="F2020" i="2" l="1"/>
  <c r="G2020" i="2" s="1"/>
  <c r="F2021" i="2" l="1"/>
  <c r="G2021" i="2" s="1"/>
  <c r="F2022" i="2" l="1"/>
  <c r="G2022" i="2" s="1"/>
  <c r="F2023" i="2" l="1"/>
  <c r="G2023" i="2" s="1"/>
  <c r="F2024" i="2" l="1"/>
  <c r="G2024" i="2" s="1"/>
  <c r="F2025" i="2" l="1"/>
  <c r="G2025" i="2" s="1"/>
  <c r="F2026" i="2" l="1"/>
  <c r="G2026" i="2" s="1"/>
  <c r="F2027" i="2" l="1"/>
  <c r="G2027" i="2" s="1"/>
  <c r="F2028" i="2" l="1"/>
  <c r="G2028" i="2" s="1"/>
  <c r="F2029" i="2" l="1"/>
  <c r="G2029" i="2" s="1"/>
  <c r="F2030" i="2" l="1"/>
  <c r="G2030" i="2" s="1"/>
  <c r="F2031" i="2" l="1"/>
  <c r="G2031" i="2" s="1"/>
  <c r="F2032" i="2" l="1"/>
  <c r="G2032" i="2" s="1"/>
  <c r="F2033" i="2" l="1"/>
  <c r="G2033" i="2" s="1"/>
  <c r="F2034" i="2" l="1"/>
  <c r="G2034" i="2" s="1"/>
  <c r="F2035" i="2" l="1"/>
  <c r="G2035" i="2" s="1"/>
  <c r="F2036" i="2" l="1"/>
  <c r="G2036" i="2" s="1"/>
  <c r="F2037" i="2" l="1"/>
  <c r="G2037" i="2" s="1"/>
  <c r="F2038" i="2" l="1"/>
  <c r="G2038" i="2" s="1"/>
  <c r="F2039" i="2" l="1"/>
  <c r="G2039" i="2" s="1"/>
  <c r="F2040" i="2" l="1"/>
  <c r="G2040" i="2" s="1"/>
  <c r="F2041" i="2" l="1"/>
  <c r="G2041" i="2" s="1"/>
  <c r="F2042" i="2" l="1"/>
  <c r="G2042" i="2" s="1"/>
  <c r="F2043" i="2" l="1"/>
  <c r="G2043" i="2" s="1"/>
  <c r="F2044" i="2" l="1"/>
  <c r="G2044" i="2" s="1"/>
  <c r="F2045" i="2" l="1"/>
  <c r="G2045" i="2" s="1"/>
  <c r="F2046" i="2" l="1"/>
  <c r="G2046" i="2" s="1"/>
  <c r="F2047" i="2" l="1"/>
  <c r="G2047" i="2" s="1"/>
  <c r="F2048" i="2" l="1"/>
  <c r="G2048" i="2" s="1"/>
  <c r="F2049" i="2" l="1"/>
  <c r="G2049" i="2" s="1"/>
  <c r="F2050" i="2" l="1"/>
  <c r="G2050" i="2" s="1"/>
  <c r="F2051" i="2" l="1"/>
  <c r="G2051" i="2" s="1"/>
  <c r="F2052" i="2" l="1"/>
  <c r="G2052" i="2" s="1"/>
  <c r="F2053" i="2" l="1"/>
  <c r="G2053" i="2" s="1"/>
  <c r="F2054" i="2" l="1"/>
  <c r="G2054" i="2" s="1"/>
  <c r="F2055" i="2" l="1"/>
  <c r="G2055" i="2" s="1"/>
  <c r="F2056" i="2" l="1"/>
  <c r="G2056" i="2" s="1"/>
  <c r="F2057" i="2" l="1"/>
  <c r="G2057" i="2" s="1"/>
  <c r="F2058" i="2" l="1"/>
  <c r="G2058" i="2" s="1"/>
  <c r="F2059" i="2" l="1"/>
  <c r="G2059" i="2" s="1"/>
  <c r="F2060" i="2" l="1"/>
  <c r="G2060" i="2" s="1"/>
  <c r="F2061" i="2" l="1"/>
  <c r="G2061" i="2" s="1"/>
  <c r="F2062" i="2" l="1"/>
  <c r="G2062" i="2" s="1"/>
  <c r="F2063" i="2" l="1"/>
  <c r="G2063" i="2" s="1"/>
  <c r="F2064" i="2" l="1"/>
  <c r="G2064" i="2" s="1"/>
  <c r="F2065" i="2" l="1"/>
  <c r="G2065" i="2" s="1"/>
  <c r="F2066" i="2" l="1"/>
  <c r="G2066" i="2" s="1"/>
  <c r="F2067" i="2" l="1"/>
  <c r="G2067" i="2" s="1"/>
  <c r="F2068" i="2" l="1"/>
  <c r="G2068" i="2" s="1"/>
  <c r="F2069" i="2" l="1"/>
  <c r="G2069" i="2" s="1"/>
  <c r="F2070" i="2" l="1"/>
  <c r="G2070" i="2" s="1"/>
  <c r="F2071" i="2" l="1"/>
  <c r="G2071" i="2" s="1"/>
  <c r="F2072" i="2" l="1"/>
  <c r="G2072" i="2" s="1"/>
  <c r="F2073" i="2" l="1"/>
  <c r="J5" i="2" l="1"/>
  <c r="G207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7EF81D-5111-4D4B-9614-F8A9386C1C1E}" keepAlive="1" name="Zapytanie — martianeum" description="Połączenie z zapytaniem „martianeum” w skoroszycie." type="5" refreshedVersion="7" background="1" saveData="1">
    <dbPr connection="Provider=Microsoft.Mashup.OleDb.1;Data Source=$Workbook$;Location=martianeum;Extended Properties=&quot;&quot;" command="SELECT * FROM [martianeum]"/>
  </connection>
</connections>
</file>

<file path=xl/sharedStrings.xml><?xml version="1.0" encoding="utf-8"?>
<sst xmlns="http://schemas.openxmlformats.org/spreadsheetml/2006/main" count="2259" uniqueCount="51">
  <si>
    <t>data</t>
  </si>
  <si>
    <t>nazwa_obszaru</t>
  </si>
  <si>
    <t>masa [kg]</t>
  </si>
  <si>
    <t>zawartosc [%]</t>
  </si>
  <si>
    <t>PRAWIDZWA_MASA</t>
  </si>
  <si>
    <t>Thaumasia</t>
  </si>
  <si>
    <t>Aeolis</t>
  </si>
  <si>
    <t>Etykiety wierszy</t>
  </si>
  <si>
    <t>Średnia z masa [kg]</t>
  </si>
  <si>
    <t>Amazonis</t>
  </si>
  <si>
    <t>Amenthes</t>
  </si>
  <si>
    <t>Arabia</t>
  </si>
  <si>
    <t>Arcadia</t>
  </si>
  <si>
    <t>Argyre</t>
  </si>
  <si>
    <t>Casius</t>
  </si>
  <si>
    <t>Cebrenia</t>
  </si>
  <si>
    <t>Coprates</t>
  </si>
  <si>
    <t>Diacria</t>
  </si>
  <si>
    <t>Elysium</t>
  </si>
  <si>
    <t>Eridania</t>
  </si>
  <si>
    <t>Hellas</t>
  </si>
  <si>
    <t>Iapygia</t>
  </si>
  <si>
    <t>Ismenius Lacus</t>
  </si>
  <si>
    <t>Lunae Palus</t>
  </si>
  <si>
    <t>Mare Acidalium</t>
  </si>
  <si>
    <t>Mare Australe</t>
  </si>
  <si>
    <t>Mare Boreum</t>
  </si>
  <si>
    <t>Mare Tyrrhenum</t>
  </si>
  <si>
    <t>Margaritifer Sinus</t>
  </si>
  <si>
    <t>Memnonia</t>
  </si>
  <si>
    <t>Noachis</t>
  </si>
  <si>
    <t>Oxia Palus</t>
  </si>
  <si>
    <t>Phaethontis</t>
  </si>
  <si>
    <t>Phoenicis Lacus</t>
  </si>
  <si>
    <t>Sinus Sabaeus</t>
  </si>
  <si>
    <t>Syrtis Major</t>
  </si>
  <si>
    <t>Tharsis</t>
  </si>
  <si>
    <t>Suma końcowa</t>
  </si>
  <si>
    <t>Liczba z nazwa_obszaru</t>
  </si>
  <si>
    <t>Etykiety kolumn</t>
  </si>
  <si>
    <t>2033</t>
  </si>
  <si>
    <t>2034</t>
  </si>
  <si>
    <t>2035</t>
  </si>
  <si>
    <t>2036</t>
  </si>
  <si>
    <t>2037</t>
  </si>
  <si>
    <t>2038</t>
  </si>
  <si>
    <t>DZIEŃ OKRESU</t>
  </si>
  <si>
    <t>Kolumna1</t>
  </si>
  <si>
    <t>Począt</t>
  </si>
  <si>
    <t xml:space="preserve">MASA_ŁADUNKOW: </t>
  </si>
  <si>
    <t>MASA_MARTIA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</si>
</sst>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1" xfId="0" applyNumberFormat="1" applyBorder="1"/>
  </cellXfs>
  <cellStyles count="1">
    <cellStyle name="Normalny" xfId="0" builtinId="0"/>
  </cellStyles>
  <dxfs count="5">
    <dxf>
      <numFmt numFmtId="2" formatCode="0.00"/>
    </dxf>
    <dxf>
      <numFmt numFmtId="0" formatCode="General"/>
    </dxf>
    <dxf>
      <numFmt numFmtId="164" formatCode="d/mm/yyyy"/>
    </dxf>
    <dxf>
      <numFmt numFmtId="164" formatCode="d/mm/yyyy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PRZEWOZÓW Z DANEGO OBSZARU W LATACH 2033</a:t>
            </a:r>
            <a:r>
              <a:rPr lang="pl-PL" baseline="0"/>
              <a:t> - 2038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Arkusz5!$M$3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Arkusz5!$L$4:$L$33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Arkusz5!$M$4:$M$33</c:f>
              <c:numCache>
                <c:formatCode>General</c:formatCode>
                <c:ptCount val="30"/>
                <c:pt idx="0">
                  <c:v>5</c:v>
                </c:pt>
                <c:pt idx="1">
                  <c:v>23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21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1</c:v>
                </c:pt>
                <c:pt idx="13">
                  <c:v>47</c:v>
                </c:pt>
                <c:pt idx="14">
                  <c:v>6</c:v>
                </c:pt>
                <c:pt idx="15">
                  <c:v>11</c:v>
                </c:pt>
                <c:pt idx="16">
                  <c:v>8</c:v>
                </c:pt>
                <c:pt idx="17">
                  <c:v>2</c:v>
                </c:pt>
                <c:pt idx="18">
                  <c:v>14</c:v>
                </c:pt>
                <c:pt idx="19">
                  <c:v>2</c:v>
                </c:pt>
                <c:pt idx="20">
                  <c:v>4</c:v>
                </c:pt>
                <c:pt idx="21">
                  <c:v>11</c:v>
                </c:pt>
                <c:pt idx="22">
                  <c:v>13</c:v>
                </c:pt>
                <c:pt idx="23">
                  <c:v>3</c:v>
                </c:pt>
                <c:pt idx="24">
                  <c:v>1</c:v>
                </c:pt>
                <c:pt idx="25">
                  <c:v>25</c:v>
                </c:pt>
                <c:pt idx="26">
                  <c:v>14</c:v>
                </c:pt>
                <c:pt idx="27">
                  <c:v>6</c:v>
                </c:pt>
                <c:pt idx="28">
                  <c:v>29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5-4B56-85A3-3D8180B90DD5}"/>
            </c:ext>
          </c:extLst>
        </c:ser>
        <c:ser>
          <c:idx val="1"/>
          <c:order val="1"/>
          <c:tx>
            <c:strRef>
              <c:f>Arkusz5!$N$3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Arkusz5!$L$4:$L$33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Arkusz5!$N$4:$N$33</c:f>
              <c:numCache>
                <c:formatCode>General</c:formatCode>
                <c:ptCount val="30"/>
                <c:pt idx="0">
                  <c:v>7</c:v>
                </c:pt>
                <c:pt idx="1">
                  <c:v>20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27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51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3</c:v>
                </c:pt>
                <c:pt idx="18">
                  <c:v>19</c:v>
                </c:pt>
                <c:pt idx="19">
                  <c:v>5</c:v>
                </c:pt>
                <c:pt idx="20">
                  <c:v>5</c:v>
                </c:pt>
                <c:pt idx="21">
                  <c:v>24</c:v>
                </c:pt>
                <c:pt idx="22">
                  <c:v>11</c:v>
                </c:pt>
                <c:pt idx="23">
                  <c:v>3</c:v>
                </c:pt>
                <c:pt idx="24">
                  <c:v>7</c:v>
                </c:pt>
                <c:pt idx="25">
                  <c:v>22</c:v>
                </c:pt>
                <c:pt idx="26">
                  <c:v>12</c:v>
                </c:pt>
                <c:pt idx="27">
                  <c:v>2</c:v>
                </c:pt>
                <c:pt idx="28">
                  <c:v>40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5-4B56-85A3-3D8180B90DD5}"/>
            </c:ext>
          </c:extLst>
        </c:ser>
        <c:ser>
          <c:idx val="2"/>
          <c:order val="2"/>
          <c:tx>
            <c:strRef>
              <c:f>Arkusz5!$O$3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Arkusz5!$L$4:$L$33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Arkusz5!$O$4:$O$33</c:f>
              <c:numCache>
                <c:formatCode>General</c:formatCode>
                <c:ptCount val="30"/>
                <c:pt idx="0">
                  <c:v>11</c:v>
                </c:pt>
                <c:pt idx="1">
                  <c:v>21</c:v>
                </c:pt>
                <c:pt idx="2">
                  <c:v>9</c:v>
                </c:pt>
                <c:pt idx="3">
                  <c:v>15</c:v>
                </c:pt>
                <c:pt idx="4">
                  <c:v>11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5</c:v>
                </c:pt>
                <c:pt idx="11">
                  <c:v>23</c:v>
                </c:pt>
                <c:pt idx="12">
                  <c:v>2</c:v>
                </c:pt>
                <c:pt idx="13">
                  <c:v>67</c:v>
                </c:pt>
                <c:pt idx="14">
                  <c:v>5</c:v>
                </c:pt>
                <c:pt idx="15">
                  <c:v>9</c:v>
                </c:pt>
                <c:pt idx="16">
                  <c:v>10</c:v>
                </c:pt>
                <c:pt idx="17">
                  <c:v>2</c:v>
                </c:pt>
                <c:pt idx="18">
                  <c:v>8</c:v>
                </c:pt>
                <c:pt idx="19">
                  <c:v>3</c:v>
                </c:pt>
                <c:pt idx="20">
                  <c:v>5</c:v>
                </c:pt>
                <c:pt idx="21">
                  <c:v>23</c:v>
                </c:pt>
                <c:pt idx="22">
                  <c:v>11</c:v>
                </c:pt>
                <c:pt idx="23">
                  <c:v>1</c:v>
                </c:pt>
                <c:pt idx="24">
                  <c:v>2</c:v>
                </c:pt>
                <c:pt idx="25">
                  <c:v>25</c:v>
                </c:pt>
                <c:pt idx="26">
                  <c:v>19</c:v>
                </c:pt>
                <c:pt idx="27">
                  <c:v>5</c:v>
                </c:pt>
                <c:pt idx="28">
                  <c:v>38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85-4B56-85A3-3D8180B90DD5}"/>
            </c:ext>
          </c:extLst>
        </c:ser>
        <c:ser>
          <c:idx val="3"/>
          <c:order val="3"/>
          <c:tx>
            <c:strRef>
              <c:f>Arkusz5!$P$3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Arkusz5!$L$4:$L$33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Arkusz5!$P$4:$P$33</c:f>
              <c:numCache>
                <c:formatCode>General</c:formatCode>
                <c:ptCount val="30"/>
                <c:pt idx="0">
                  <c:v>2</c:v>
                </c:pt>
                <c:pt idx="1">
                  <c:v>29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  <c:pt idx="5">
                  <c:v>3</c:v>
                </c:pt>
                <c:pt idx="6">
                  <c:v>13</c:v>
                </c:pt>
                <c:pt idx="7">
                  <c:v>1</c:v>
                </c:pt>
                <c:pt idx="8">
                  <c:v>33</c:v>
                </c:pt>
                <c:pt idx="9">
                  <c:v>3</c:v>
                </c:pt>
                <c:pt idx="10">
                  <c:v>4</c:v>
                </c:pt>
                <c:pt idx="11">
                  <c:v>20</c:v>
                </c:pt>
                <c:pt idx="12">
                  <c:v>1</c:v>
                </c:pt>
                <c:pt idx="13">
                  <c:v>53</c:v>
                </c:pt>
                <c:pt idx="14">
                  <c:v>3</c:v>
                </c:pt>
                <c:pt idx="15">
                  <c:v>10</c:v>
                </c:pt>
                <c:pt idx="16">
                  <c:v>8</c:v>
                </c:pt>
                <c:pt idx="17">
                  <c:v>3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19</c:v>
                </c:pt>
                <c:pt idx="22">
                  <c:v>25</c:v>
                </c:pt>
                <c:pt idx="24">
                  <c:v>4</c:v>
                </c:pt>
                <c:pt idx="25">
                  <c:v>22</c:v>
                </c:pt>
                <c:pt idx="26">
                  <c:v>13</c:v>
                </c:pt>
                <c:pt idx="27">
                  <c:v>4</c:v>
                </c:pt>
                <c:pt idx="28">
                  <c:v>41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85-4B56-85A3-3D8180B90DD5}"/>
            </c:ext>
          </c:extLst>
        </c:ser>
        <c:ser>
          <c:idx val="4"/>
          <c:order val="4"/>
          <c:tx>
            <c:strRef>
              <c:f>Arkusz5!$Q$3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Arkusz5!$L$4:$L$33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Arkusz5!$Q$4:$Q$33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</c:v>
                </c:pt>
                <c:pt idx="8">
                  <c:v>30</c:v>
                </c:pt>
                <c:pt idx="9">
                  <c:v>3</c:v>
                </c:pt>
                <c:pt idx="10">
                  <c:v>8</c:v>
                </c:pt>
                <c:pt idx="11">
                  <c:v>22</c:v>
                </c:pt>
                <c:pt idx="12">
                  <c:v>3</c:v>
                </c:pt>
                <c:pt idx="13">
                  <c:v>51</c:v>
                </c:pt>
                <c:pt idx="14">
                  <c:v>9</c:v>
                </c:pt>
                <c:pt idx="15">
                  <c:v>10</c:v>
                </c:pt>
                <c:pt idx="16">
                  <c:v>14</c:v>
                </c:pt>
                <c:pt idx="17">
                  <c:v>2</c:v>
                </c:pt>
                <c:pt idx="18">
                  <c:v>14</c:v>
                </c:pt>
                <c:pt idx="20">
                  <c:v>2</c:v>
                </c:pt>
                <c:pt idx="21">
                  <c:v>14</c:v>
                </c:pt>
                <c:pt idx="22">
                  <c:v>17</c:v>
                </c:pt>
                <c:pt idx="23">
                  <c:v>4</c:v>
                </c:pt>
                <c:pt idx="24">
                  <c:v>5</c:v>
                </c:pt>
                <c:pt idx="25">
                  <c:v>15</c:v>
                </c:pt>
                <c:pt idx="26">
                  <c:v>12</c:v>
                </c:pt>
                <c:pt idx="27">
                  <c:v>6</c:v>
                </c:pt>
                <c:pt idx="28">
                  <c:v>46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85-4B56-85A3-3D8180B90DD5}"/>
            </c:ext>
          </c:extLst>
        </c:ser>
        <c:ser>
          <c:idx val="5"/>
          <c:order val="5"/>
          <c:tx>
            <c:strRef>
              <c:f>Arkusz5!$R$3</c:f>
              <c:strCache>
                <c:ptCount val="1"/>
                <c:pt idx="0">
                  <c:v>2038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Arkusz5!$L$4:$L$33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Arkusz5!$R$4:$R$33</c:f>
              <c:numCache>
                <c:formatCode>General</c:formatCode>
                <c:ptCount val="30"/>
                <c:pt idx="0">
                  <c:v>5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1</c:v>
                </c:pt>
                <c:pt idx="8">
                  <c:v>23</c:v>
                </c:pt>
                <c:pt idx="9">
                  <c:v>2</c:v>
                </c:pt>
                <c:pt idx="10">
                  <c:v>7</c:v>
                </c:pt>
                <c:pt idx="11">
                  <c:v>16</c:v>
                </c:pt>
                <c:pt idx="12">
                  <c:v>4</c:v>
                </c:pt>
                <c:pt idx="13">
                  <c:v>33</c:v>
                </c:pt>
                <c:pt idx="14">
                  <c:v>13</c:v>
                </c:pt>
                <c:pt idx="15">
                  <c:v>3</c:v>
                </c:pt>
                <c:pt idx="16">
                  <c:v>10</c:v>
                </c:pt>
                <c:pt idx="17">
                  <c:v>2</c:v>
                </c:pt>
                <c:pt idx="18">
                  <c:v>12</c:v>
                </c:pt>
                <c:pt idx="19">
                  <c:v>2</c:v>
                </c:pt>
                <c:pt idx="20">
                  <c:v>7</c:v>
                </c:pt>
                <c:pt idx="21">
                  <c:v>13</c:v>
                </c:pt>
                <c:pt idx="22">
                  <c:v>14</c:v>
                </c:pt>
                <c:pt idx="23">
                  <c:v>2</c:v>
                </c:pt>
                <c:pt idx="24">
                  <c:v>4</c:v>
                </c:pt>
                <c:pt idx="25">
                  <c:v>18</c:v>
                </c:pt>
                <c:pt idx="26">
                  <c:v>6</c:v>
                </c:pt>
                <c:pt idx="27">
                  <c:v>3</c:v>
                </c:pt>
                <c:pt idx="28">
                  <c:v>39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85-4B56-85A3-3D8180B90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5517856"/>
        <c:axId val="1365519520"/>
      </c:barChart>
      <c:catAx>
        <c:axId val="1365517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Nazwa obszaru</a:t>
                </a: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65519520"/>
        <c:crosses val="autoZero"/>
        <c:auto val="1"/>
        <c:lblAlgn val="ctr"/>
        <c:lblOffset val="100"/>
        <c:noMultiLvlLbl val="0"/>
      </c:catAx>
      <c:valAx>
        <c:axId val="136551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przewozów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6551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887954205278615"/>
          <c:y val="0.89684965253135496"/>
          <c:w val="0.33907674629026657"/>
          <c:h val="4.1568224167463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118630</xdr:colOff>
      <xdr:row>9</xdr:row>
      <xdr:rowOff>24677</xdr:rowOff>
    </xdr:from>
    <xdr:to>
      <xdr:col>28</xdr:col>
      <xdr:colOff>3013</xdr:colOff>
      <xdr:row>36</xdr:row>
      <xdr:rowOff>36894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BA0BCFE-EE26-4DAF-A120-F75867E721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otr, Zastawny" refreshedDate="46063.458020486112" createdVersion="7" refreshedVersion="7" minRefreshableVersion="3" recordCount="2072" xr:uid="{E5691E2E-5BD0-4D56-8D1B-93A37459B8A6}">
  <cacheSource type="worksheet">
    <worksheetSource name="martianeum"/>
  </cacheSource>
  <cacheFields count="5">
    <cacheField name="data" numFmtId="14">
      <sharedItems containsSemiMixedTypes="0" containsNonDate="0" containsDate="1" containsString="0" minDate="2033-03-03T00:00:00" maxDate="2038-11-04T00:00:00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PRAWIDZWA_MASA" numFmtId="2">
      <sharedItems containsSemiMixedTypes="0" containsString="0" containsNumber="1" minValue="0" maxValue="13.6407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otr, Zastawny" refreshedDate="46063.476901041664" createdVersion="7" refreshedVersion="7" minRefreshableVersion="3" recordCount="2072" xr:uid="{A3B6F63C-6AE3-4651-880E-1DC202324CE7}">
  <cacheSource type="worksheet">
    <worksheetSource name="martianeum"/>
  </cacheSource>
  <cacheFields count="9">
    <cacheField name="data" numFmtId="14">
      <sharedItems containsSemiMixedTypes="0" containsNonDate="0" containsDate="1" containsString="0" minDate="2033-03-03T00:00:00" maxDate="2038-11-04T00:00:00" count="2072">
        <d v="2033-03-03T00:00:00"/>
        <d v="2033-03-04T00:00:00"/>
        <d v="2033-03-05T00:00:00"/>
        <d v="2033-03-06T00:00:00"/>
        <d v="2033-03-07T00:00:00"/>
        <d v="2033-03-08T00:00:00"/>
        <d v="2033-03-09T00:00:00"/>
        <d v="2033-03-10T00:00:00"/>
        <d v="2033-03-11T00:00:00"/>
        <d v="2033-03-12T00:00:00"/>
        <d v="2033-03-13T00:00:00"/>
        <d v="2033-03-14T00:00:00"/>
        <d v="2033-03-15T00:00:00"/>
        <d v="2033-03-16T00:00:00"/>
        <d v="2033-03-17T00:00:00"/>
        <d v="2033-03-18T00:00:00"/>
        <d v="2033-03-19T00:00:00"/>
        <d v="2033-03-20T00:00:00"/>
        <d v="2033-03-21T00:00:00"/>
        <d v="2033-03-22T00:00:00"/>
        <d v="2033-03-23T00:00:00"/>
        <d v="2033-03-24T00:00:00"/>
        <d v="2033-03-25T00:00:00"/>
        <d v="2033-03-26T00:00:00"/>
        <d v="2033-03-27T00:00:00"/>
        <d v="2033-03-28T00:00:00"/>
        <d v="2033-03-29T00:00:00"/>
        <d v="2033-03-30T00:00:00"/>
        <d v="2033-03-31T00:00:00"/>
        <d v="2033-04-01T00:00:00"/>
        <d v="2033-04-02T00:00:00"/>
        <d v="2033-04-03T00:00:00"/>
        <d v="2033-04-04T00:00:00"/>
        <d v="2033-04-05T00:00:00"/>
        <d v="2033-04-06T00:00:00"/>
        <d v="2033-04-07T00:00:00"/>
        <d v="2033-04-08T00:00:00"/>
        <d v="2033-04-09T00:00:00"/>
        <d v="2033-04-10T00:00:00"/>
        <d v="2033-04-11T00:00:00"/>
        <d v="2033-04-12T00:00:00"/>
        <d v="2033-04-13T00:00:00"/>
        <d v="2033-04-14T00:00:00"/>
        <d v="2033-04-15T00:00:00"/>
        <d v="2033-04-16T00:00:00"/>
        <d v="2033-04-17T00:00:00"/>
        <d v="2033-04-18T00:00:00"/>
        <d v="2033-04-19T00:00:00"/>
        <d v="2033-04-20T00:00:00"/>
        <d v="2033-04-21T00:00:00"/>
        <d v="2033-04-22T00:00:00"/>
        <d v="2033-04-23T00:00:00"/>
        <d v="2033-04-24T00:00:00"/>
        <d v="2033-04-25T00:00:00"/>
        <d v="2033-04-26T00:00:00"/>
        <d v="2033-04-27T00:00:00"/>
        <d v="2033-04-28T00:00:00"/>
        <d v="2033-04-29T00:00:00"/>
        <d v="2033-04-30T00:00:00"/>
        <d v="2033-05-01T00:00:00"/>
        <d v="2033-05-02T00:00:00"/>
        <d v="2033-05-03T00:00:00"/>
        <d v="2033-05-04T00:00:00"/>
        <d v="2033-05-05T00:00:00"/>
        <d v="2033-05-06T00:00:00"/>
        <d v="2033-05-07T00:00:00"/>
        <d v="2033-05-08T00:00:00"/>
        <d v="2033-05-09T00:00:00"/>
        <d v="2033-05-10T00:00:00"/>
        <d v="2033-05-11T00:00:00"/>
        <d v="2033-05-12T00:00:00"/>
        <d v="2033-05-13T00:00:00"/>
        <d v="2033-05-14T00:00:00"/>
        <d v="2033-05-15T00:00:00"/>
        <d v="2033-05-16T00:00:00"/>
        <d v="2033-05-17T00:00:00"/>
        <d v="2033-05-18T00:00:00"/>
        <d v="2033-05-19T00:00:00"/>
        <d v="2033-05-20T00:00:00"/>
        <d v="2033-05-21T00:00:00"/>
        <d v="2033-05-22T00:00:00"/>
        <d v="2033-05-23T00:00:00"/>
        <d v="2033-05-24T00:00:00"/>
        <d v="2033-05-25T00:00:00"/>
        <d v="2033-05-26T00:00:00"/>
        <d v="2033-05-27T00:00:00"/>
        <d v="2033-05-28T00:00:00"/>
        <d v="2033-05-29T00:00:00"/>
        <d v="2033-05-30T00:00:00"/>
        <d v="2033-05-31T00:00:00"/>
        <d v="2033-06-01T00:00:00"/>
        <d v="2033-06-02T00:00:00"/>
        <d v="2033-06-03T00:00:00"/>
        <d v="2033-06-04T00:00:00"/>
        <d v="2033-06-05T00:00:00"/>
        <d v="2033-06-06T00:00:00"/>
        <d v="2033-06-07T00:00:00"/>
        <d v="2033-06-08T00:00:00"/>
        <d v="2033-06-09T00:00:00"/>
        <d v="2033-06-10T00:00:00"/>
        <d v="2033-06-11T00:00:00"/>
        <d v="2033-06-12T00:00:00"/>
        <d v="2033-06-13T00:00:00"/>
        <d v="2033-06-14T00:00:00"/>
        <d v="2033-06-15T00:00:00"/>
        <d v="2033-06-16T00:00:00"/>
        <d v="2033-06-17T00:00:00"/>
        <d v="2033-06-18T00:00:00"/>
        <d v="2033-06-19T00:00:00"/>
        <d v="2033-06-20T00:00:00"/>
        <d v="2033-06-21T00:00:00"/>
        <d v="2033-06-22T00:00:00"/>
        <d v="2033-06-23T00:00:00"/>
        <d v="2033-06-24T00:00:00"/>
        <d v="2033-06-25T00:00:00"/>
        <d v="2033-06-26T00:00:00"/>
        <d v="2033-06-27T00:00:00"/>
        <d v="2033-06-28T00:00:00"/>
        <d v="2033-06-29T00:00:00"/>
        <d v="2033-06-30T00:00:00"/>
        <d v="2033-07-01T00:00:00"/>
        <d v="2033-07-02T00:00:00"/>
        <d v="2033-07-03T00:00:00"/>
        <d v="2033-07-04T00:00:00"/>
        <d v="2033-07-05T00:00:00"/>
        <d v="2033-07-06T00:00:00"/>
        <d v="2033-07-07T00:00:00"/>
        <d v="2033-07-08T00:00:00"/>
        <d v="2033-07-09T00:00:00"/>
        <d v="2033-07-10T00:00:00"/>
        <d v="2033-07-11T00:00:00"/>
        <d v="2033-07-12T00:00:00"/>
        <d v="2033-07-13T00:00:00"/>
        <d v="2033-07-14T00:00:00"/>
        <d v="2033-07-15T00:00:00"/>
        <d v="2033-07-16T00:00:00"/>
        <d v="2033-07-17T00:00:00"/>
        <d v="2033-07-18T00:00:00"/>
        <d v="2033-07-19T00:00:00"/>
        <d v="2033-07-20T00:00:00"/>
        <d v="2033-07-21T00:00:00"/>
        <d v="2033-07-22T00:00:00"/>
        <d v="2033-07-23T00:00:00"/>
        <d v="2033-07-24T00:00:00"/>
        <d v="2033-07-25T00:00:00"/>
        <d v="2033-07-26T00:00:00"/>
        <d v="2033-07-27T00:00:00"/>
        <d v="2033-07-28T00:00:00"/>
        <d v="2033-07-29T00:00:00"/>
        <d v="2033-07-30T00:00:00"/>
        <d v="2033-07-31T00:00:00"/>
        <d v="2033-08-01T00:00:00"/>
        <d v="2033-08-02T00:00:00"/>
        <d v="2033-08-03T00:00:00"/>
        <d v="2033-08-04T00:00:00"/>
        <d v="2033-08-05T00:00:00"/>
        <d v="2033-08-06T00:00:00"/>
        <d v="2033-08-07T00:00:00"/>
        <d v="2033-08-08T00:00:00"/>
        <d v="2033-08-09T00:00:00"/>
        <d v="2033-08-10T00:00:00"/>
        <d v="2033-08-11T00:00:00"/>
        <d v="2033-08-12T00:00:00"/>
        <d v="2033-08-13T00:00:00"/>
        <d v="2033-08-14T00:00:00"/>
        <d v="2033-08-15T00:00:00"/>
        <d v="2033-08-16T00:00:00"/>
        <d v="2033-08-17T00:00:00"/>
        <d v="2033-08-18T00:00:00"/>
        <d v="2033-08-19T00:00:00"/>
        <d v="2033-08-20T00:00:00"/>
        <d v="2033-08-21T00:00:00"/>
        <d v="2033-08-22T00:00:00"/>
        <d v="2033-08-23T00:00:00"/>
        <d v="2033-08-24T00:00:00"/>
        <d v="2033-08-25T00:00:00"/>
        <d v="2033-08-26T00:00:00"/>
        <d v="2033-08-27T00:00:00"/>
        <d v="2033-08-28T00:00:00"/>
        <d v="2033-08-29T00:00:00"/>
        <d v="2033-08-30T00:00:00"/>
        <d v="2033-08-31T00:00:00"/>
        <d v="2033-09-01T00:00:00"/>
        <d v="2033-09-02T00:00:00"/>
        <d v="2033-09-03T00:00:00"/>
        <d v="2033-09-04T00:00:00"/>
        <d v="2033-09-05T00:00:00"/>
        <d v="2033-09-06T00:00:00"/>
        <d v="2033-09-07T00:00:00"/>
        <d v="2033-09-08T00:00:00"/>
        <d v="2033-09-09T00:00:00"/>
        <d v="2033-09-10T00:00:00"/>
        <d v="2033-09-11T00:00:00"/>
        <d v="2033-09-12T00:00:00"/>
        <d v="2033-09-13T00:00:00"/>
        <d v="2033-09-14T00:00:00"/>
        <d v="2033-09-15T00:00:00"/>
        <d v="2033-09-16T00:00:00"/>
        <d v="2033-09-17T00:00:00"/>
        <d v="2033-09-18T00:00:00"/>
        <d v="2033-09-19T00:00:00"/>
        <d v="2033-09-20T00:00:00"/>
        <d v="2033-09-21T00:00:00"/>
        <d v="2033-09-22T00:00:00"/>
        <d v="2033-09-23T00:00:00"/>
        <d v="2033-09-24T00:00:00"/>
        <d v="2033-09-25T00:00:00"/>
        <d v="2033-09-26T00:00:00"/>
        <d v="2033-09-27T00:00:00"/>
        <d v="2033-09-28T00:00:00"/>
        <d v="2033-09-29T00:00:00"/>
        <d v="2033-09-30T00:00:00"/>
        <d v="2033-10-01T00:00:00"/>
        <d v="2033-10-02T00:00:00"/>
        <d v="2033-10-03T00:00:00"/>
        <d v="2033-10-04T00:00:00"/>
        <d v="2033-10-05T00:00:00"/>
        <d v="2033-10-06T00:00:00"/>
        <d v="2033-10-07T00:00:00"/>
        <d v="2033-10-08T00:00:00"/>
        <d v="2033-10-09T00:00:00"/>
        <d v="2033-10-10T00:00:00"/>
        <d v="2033-10-11T00:00:00"/>
        <d v="2033-10-12T00:00:00"/>
        <d v="2033-10-13T00:00:00"/>
        <d v="2033-10-14T00:00:00"/>
        <d v="2033-10-15T00:00:00"/>
        <d v="2033-10-16T00:00:00"/>
        <d v="2033-10-17T00:00:00"/>
        <d v="2033-10-18T00:00:00"/>
        <d v="2033-10-19T00:00:00"/>
        <d v="2033-10-20T00:00:00"/>
        <d v="2033-10-21T00:00:00"/>
        <d v="2033-10-22T00:00:00"/>
        <d v="2033-10-23T00:00:00"/>
        <d v="2033-10-24T00:00:00"/>
        <d v="2033-10-25T00:00:00"/>
        <d v="2033-10-26T00:00:00"/>
        <d v="2033-10-27T00:00:00"/>
        <d v="2033-10-28T00:00:00"/>
        <d v="2033-10-29T00:00:00"/>
        <d v="2033-10-30T00:00:00"/>
        <d v="2033-10-31T00:00:00"/>
        <d v="2033-11-01T00:00:00"/>
        <d v="2033-11-02T00:00:00"/>
        <d v="2033-11-03T00:00:00"/>
        <d v="2033-11-04T00:00:00"/>
        <d v="2033-11-05T00:00:00"/>
        <d v="2033-11-06T00:00:00"/>
        <d v="2033-11-07T00:00:00"/>
        <d v="2033-11-08T00:00:00"/>
        <d v="2033-11-09T00:00:00"/>
        <d v="2033-11-10T00:00:00"/>
        <d v="2033-11-11T00:00:00"/>
        <d v="2033-11-12T00:00:00"/>
        <d v="2033-11-13T00:00:00"/>
        <d v="2033-11-14T00:00:00"/>
        <d v="2033-11-15T00:00:00"/>
        <d v="2033-11-16T00:00:00"/>
        <d v="2033-11-17T00:00:00"/>
        <d v="2033-11-18T00:00:00"/>
        <d v="2033-11-19T00:00:00"/>
        <d v="2033-11-20T00:00:00"/>
        <d v="2033-11-21T00:00:00"/>
        <d v="2033-11-22T00:00:00"/>
        <d v="2033-11-23T00:00:00"/>
        <d v="2033-11-24T00:00:00"/>
        <d v="2033-11-25T00:00:00"/>
        <d v="2033-11-26T00:00:00"/>
        <d v="2033-11-27T00:00:00"/>
        <d v="2033-11-28T00:00:00"/>
        <d v="2033-11-29T00:00:00"/>
        <d v="2033-11-30T00:00:00"/>
        <d v="2033-12-01T00:00:00"/>
        <d v="2033-12-02T00:00:00"/>
        <d v="2033-12-03T00:00:00"/>
        <d v="2033-12-04T00:00:00"/>
        <d v="2033-12-05T00:00:00"/>
        <d v="2033-12-06T00:00:00"/>
        <d v="2033-12-07T00:00:00"/>
        <d v="2033-12-08T00:00:00"/>
        <d v="2033-12-09T00:00:00"/>
        <d v="2033-12-10T00:00:00"/>
        <d v="2033-12-11T00:00:00"/>
        <d v="2033-12-12T00:00:00"/>
        <d v="2033-12-13T00:00:00"/>
        <d v="2033-12-14T00:00:00"/>
        <d v="2033-12-15T00:00:00"/>
        <d v="2033-12-16T00:00:00"/>
        <d v="2033-12-17T00:00:00"/>
        <d v="2033-12-18T00:00:00"/>
        <d v="2033-12-19T00:00:00"/>
        <d v="2033-12-20T00:00:00"/>
        <d v="2033-12-21T00:00:00"/>
        <d v="2033-12-22T00:00:00"/>
        <d v="2033-12-23T00:00:00"/>
        <d v="2033-12-24T00:00:00"/>
        <d v="2033-12-25T00:00:00"/>
        <d v="2033-12-26T00:00:00"/>
        <d v="2033-12-27T00:00:00"/>
        <d v="2033-12-28T00:00:00"/>
        <d v="2033-12-29T00:00:00"/>
        <d v="2033-12-30T00:00:00"/>
        <d v="2033-12-31T00:00:00"/>
        <d v="2034-01-01T00:00:00"/>
        <d v="2034-01-02T00:00:00"/>
        <d v="2034-01-03T00:00:00"/>
        <d v="2034-01-04T00:00:00"/>
        <d v="2034-01-05T00:00:00"/>
        <d v="2034-01-06T00:00:00"/>
        <d v="2034-01-07T00:00:00"/>
        <d v="2034-01-08T00:00:00"/>
        <d v="2034-01-09T00:00:00"/>
        <d v="2034-01-10T00:00:00"/>
        <d v="2034-01-11T00:00:00"/>
        <d v="2034-01-12T00:00:00"/>
        <d v="2034-01-13T00:00:00"/>
        <d v="2034-01-14T00:00:00"/>
        <d v="2034-01-15T00:00:00"/>
        <d v="2034-01-16T00:00:00"/>
        <d v="2034-01-17T00:00:00"/>
        <d v="2034-01-18T00:00:00"/>
        <d v="2034-01-19T00:00:00"/>
        <d v="2034-01-20T00:00:00"/>
        <d v="2034-01-21T00:00:00"/>
        <d v="2034-01-22T00:00:00"/>
        <d v="2034-01-23T00:00:00"/>
        <d v="2034-01-24T00:00:00"/>
        <d v="2034-01-25T00:00:00"/>
        <d v="2034-01-26T00:00:00"/>
        <d v="2034-01-27T00:00:00"/>
        <d v="2034-01-28T00:00:00"/>
        <d v="2034-01-29T00:00:00"/>
        <d v="2034-01-30T00:00:00"/>
        <d v="2034-01-31T00:00:00"/>
        <d v="2034-02-01T00:00:00"/>
        <d v="2034-02-02T00:00:00"/>
        <d v="2034-02-03T00:00:00"/>
        <d v="2034-02-04T00:00:00"/>
        <d v="2034-02-05T00:00:00"/>
        <d v="2034-02-06T00:00:00"/>
        <d v="2034-02-07T00:00:00"/>
        <d v="2034-02-08T00:00:00"/>
        <d v="2034-02-09T00:00:00"/>
        <d v="2034-02-10T00:00:00"/>
        <d v="2034-02-11T00:00:00"/>
        <d v="2034-02-12T00:00:00"/>
        <d v="2034-02-13T00:00:00"/>
        <d v="2034-02-14T00:00:00"/>
        <d v="2034-02-15T00:00:00"/>
        <d v="2034-02-16T00:00:00"/>
        <d v="2034-02-17T00:00:00"/>
        <d v="2034-02-18T00:00:00"/>
        <d v="2034-02-19T00:00:00"/>
        <d v="2034-02-20T00:00:00"/>
        <d v="2034-02-21T00:00:00"/>
        <d v="2034-02-22T00:00:00"/>
        <d v="2034-02-23T00:00:00"/>
        <d v="2034-02-24T00:00:00"/>
        <d v="2034-02-25T00:00:00"/>
        <d v="2034-02-26T00:00:00"/>
        <d v="2034-02-27T00:00:00"/>
        <d v="2034-02-28T00:00:00"/>
        <d v="2034-03-01T00:00:00"/>
        <d v="2034-03-02T00:00:00"/>
        <d v="2034-03-03T00:00:00"/>
        <d v="2034-03-04T00:00:00"/>
        <d v="2034-03-05T00:00:00"/>
        <d v="2034-03-06T00:00:00"/>
        <d v="2034-03-07T00:00:00"/>
        <d v="2034-03-08T00:00:00"/>
        <d v="2034-03-09T00:00:00"/>
        <d v="2034-03-10T00:00:00"/>
        <d v="2034-03-11T00:00:00"/>
        <d v="2034-03-12T00:00:00"/>
        <d v="2034-03-13T00:00:00"/>
        <d v="2034-03-14T00:00:00"/>
        <d v="2034-03-15T00:00:00"/>
        <d v="2034-03-16T00:00:00"/>
        <d v="2034-03-17T00:00:00"/>
        <d v="2034-03-18T00:00:00"/>
        <d v="2034-03-19T00:00:00"/>
        <d v="2034-03-20T00:00:00"/>
        <d v="2034-03-21T00:00:00"/>
        <d v="2034-03-22T00:00:00"/>
        <d v="2034-03-23T00:00:00"/>
        <d v="2034-03-24T00:00:00"/>
        <d v="2034-03-25T00:00:00"/>
        <d v="2034-03-26T00:00:00"/>
        <d v="2034-03-27T00:00:00"/>
        <d v="2034-03-28T00:00:00"/>
        <d v="2034-03-29T00:00:00"/>
        <d v="2034-03-30T00:00:00"/>
        <d v="2034-03-31T00:00:00"/>
        <d v="2034-04-01T00:00:00"/>
        <d v="2034-04-02T00:00:00"/>
        <d v="2034-04-03T00:00:00"/>
        <d v="2034-04-04T00:00:00"/>
        <d v="2034-04-05T00:00:00"/>
        <d v="2034-04-06T00:00:00"/>
        <d v="2034-04-07T00:00:00"/>
        <d v="2034-04-08T00:00:00"/>
        <d v="2034-04-09T00:00:00"/>
        <d v="2034-04-10T00:00:00"/>
        <d v="2034-04-11T00:00:00"/>
        <d v="2034-04-12T00:00:00"/>
        <d v="2034-04-13T00:00:00"/>
        <d v="2034-04-14T00:00:00"/>
        <d v="2034-04-15T00:00:00"/>
        <d v="2034-04-16T00:00:00"/>
        <d v="2034-04-17T00:00:00"/>
        <d v="2034-04-18T00:00:00"/>
        <d v="2034-04-19T00:00:00"/>
        <d v="2034-04-20T00:00:00"/>
        <d v="2034-04-21T00:00:00"/>
        <d v="2034-04-22T00:00:00"/>
        <d v="2034-04-23T00:00:00"/>
        <d v="2034-04-24T00:00:00"/>
        <d v="2034-04-25T00:00:00"/>
        <d v="2034-04-26T00:00:00"/>
        <d v="2034-04-27T00:00:00"/>
        <d v="2034-04-28T00:00:00"/>
        <d v="2034-04-29T00:00:00"/>
        <d v="2034-04-30T00:00:00"/>
        <d v="2034-05-01T00:00:00"/>
        <d v="2034-05-02T00:00:00"/>
        <d v="2034-05-03T00:00:00"/>
        <d v="2034-05-04T00:00:00"/>
        <d v="2034-05-05T00:00:00"/>
        <d v="2034-05-06T00:00:00"/>
        <d v="2034-05-07T00:00:00"/>
        <d v="2034-05-08T00:00:00"/>
        <d v="2034-05-09T00:00:00"/>
        <d v="2034-05-10T00:00:00"/>
        <d v="2034-05-11T00:00:00"/>
        <d v="2034-05-12T00:00:00"/>
        <d v="2034-05-13T00:00:00"/>
        <d v="2034-05-14T00:00:00"/>
        <d v="2034-05-15T00:00:00"/>
        <d v="2034-05-16T00:00:00"/>
        <d v="2034-05-17T00:00:00"/>
        <d v="2034-05-18T00:00:00"/>
        <d v="2034-05-19T00:00:00"/>
        <d v="2034-05-20T00:00:00"/>
        <d v="2034-05-21T00:00:00"/>
        <d v="2034-05-22T00:00:00"/>
        <d v="2034-05-23T00:00:00"/>
        <d v="2034-05-24T00:00:00"/>
        <d v="2034-05-25T00:00:00"/>
        <d v="2034-05-26T00:00:00"/>
        <d v="2034-05-27T00:00:00"/>
        <d v="2034-05-28T00:00:00"/>
        <d v="2034-05-29T00:00:00"/>
        <d v="2034-05-30T00:00:00"/>
        <d v="2034-05-31T00:00:00"/>
        <d v="2034-06-01T00:00:00"/>
        <d v="2034-06-02T00:00:00"/>
        <d v="2034-06-03T00:00:00"/>
        <d v="2034-06-04T00:00:00"/>
        <d v="2034-06-05T00:00:00"/>
        <d v="2034-06-06T00:00:00"/>
        <d v="2034-06-07T00:00:00"/>
        <d v="2034-06-08T00:00:00"/>
        <d v="2034-06-09T00:00:00"/>
        <d v="2034-06-10T00:00:00"/>
        <d v="2034-06-11T00:00:00"/>
        <d v="2034-06-12T00:00:00"/>
        <d v="2034-06-13T00:00:00"/>
        <d v="2034-06-14T00:00:00"/>
        <d v="2034-06-15T00:00:00"/>
        <d v="2034-06-16T00:00:00"/>
        <d v="2034-06-17T00:00:00"/>
        <d v="2034-06-18T00:00:00"/>
        <d v="2034-06-19T00:00:00"/>
        <d v="2034-06-20T00:00:00"/>
        <d v="2034-06-21T00:00:00"/>
        <d v="2034-06-22T00:00:00"/>
        <d v="2034-06-23T00:00:00"/>
        <d v="2034-06-24T00:00:00"/>
        <d v="2034-06-25T00:00:00"/>
        <d v="2034-06-26T00:00:00"/>
        <d v="2034-06-27T00:00:00"/>
        <d v="2034-06-28T00:00:00"/>
        <d v="2034-06-29T00:00:00"/>
        <d v="2034-06-30T00:00:00"/>
        <d v="2034-07-01T00:00:00"/>
        <d v="2034-07-02T00:00:00"/>
        <d v="2034-07-03T00:00:00"/>
        <d v="2034-07-04T00:00:00"/>
        <d v="2034-07-05T00:00:00"/>
        <d v="2034-07-06T00:00:00"/>
        <d v="2034-07-07T00:00:00"/>
        <d v="2034-07-08T00:00:00"/>
        <d v="2034-07-09T00:00:00"/>
        <d v="2034-07-10T00:00:00"/>
        <d v="2034-07-11T00:00:00"/>
        <d v="2034-07-12T00:00:00"/>
        <d v="2034-07-13T00:00:00"/>
        <d v="2034-07-14T00:00:00"/>
        <d v="2034-07-15T00:00:00"/>
        <d v="2034-07-16T00:00:00"/>
        <d v="2034-07-17T00:00:00"/>
        <d v="2034-07-18T00:00:00"/>
        <d v="2034-07-19T00:00:00"/>
        <d v="2034-07-20T00:00:00"/>
        <d v="2034-07-21T00:00:00"/>
        <d v="2034-07-22T00:00:00"/>
        <d v="2034-07-23T00:00:00"/>
        <d v="2034-07-24T00:00:00"/>
        <d v="2034-07-25T00:00:00"/>
        <d v="2034-07-26T00:00:00"/>
        <d v="2034-07-27T00:00:00"/>
        <d v="2034-07-28T00:00:00"/>
        <d v="2034-07-29T00:00:00"/>
        <d v="2034-07-30T00:00:00"/>
        <d v="2034-07-31T00:00:00"/>
        <d v="2034-08-01T00:00:00"/>
        <d v="2034-08-02T00:00:00"/>
        <d v="2034-08-03T00:00:00"/>
        <d v="2034-08-04T00:00:00"/>
        <d v="2034-08-05T00:00:00"/>
        <d v="2034-08-06T00:00:00"/>
        <d v="2034-08-07T00:00:00"/>
        <d v="2034-08-08T00:00:00"/>
        <d v="2034-08-09T00:00:00"/>
        <d v="2034-08-10T00:00:00"/>
        <d v="2034-08-11T00:00:00"/>
        <d v="2034-08-12T00:00:00"/>
        <d v="2034-08-13T00:00:00"/>
        <d v="2034-08-14T00:00:00"/>
        <d v="2034-08-15T00:00:00"/>
        <d v="2034-08-16T00:00:00"/>
        <d v="2034-08-17T00:00:00"/>
        <d v="2034-08-18T00:00:00"/>
        <d v="2034-08-19T00:00:00"/>
        <d v="2034-08-20T00:00:00"/>
        <d v="2034-08-21T00:00:00"/>
        <d v="2034-08-22T00:00:00"/>
        <d v="2034-08-23T00:00:00"/>
        <d v="2034-08-24T00:00:00"/>
        <d v="2034-08-25T00:00:00"/>
        <d v="2034-08-26T00:00:00"/>
        <d v="2034-08-27T00:00:00"/>
        <d v="2034-08-28T00:00:00"/>
        <d v="2034-08-29T00:00:00"/>
        <d v="2034-08-30T00:00:00"/>
        <d v="2034-08-31T00:00:00"/>
        <d v="2034-09-01T00:00:00"/>
        <d v="2034-09-02T00:00:00"/>
        <d v="2034-09-03T00:00:00"/>
        <d v="2034-09-04T00:00:00"/>
        <d v="2034-09-05T00:00:00"/>
        <d v="2034-09-06T00:00:00"/>
        <d v="2034-09-07T00:00:00"/>
        <d v="2034-09-08T00:00:00"/>
        <d v="2034-09-09T00:00:00"/>
        <d v="2034-09-10T00:00:00"/>
        <d v="2034-09-11T00:00:00"/>
        <d v="2034-09-12T00:00:00"/>
        <d v="2034-09-13T00:00:00"/>
        <d v="2034-09-14T00:00:00"/>
        <d v="2034-09-15T00:00:00"/>
        <d v="2034-09-16T00:00:00"/>
        <d v="2034-09-17T00:00:00"/>
        <d v="2034-09-18T00:00:00"/>
        <d v="2034-09-19T00:00:00"/>
        <d v="2034-09-20T00:00:00"/>
        <d v="2034-09-21T00:00:00"/>
        <d v="2034-09-22T00:00:00"/>
        <d v="2034-09-23T00:00:00"/>
        <d v="2034-09-24T00:00:00"/>
        <d v="2034-09-25T00:00:00"/>
        <d v="2034-09-26T00:00:00"/>
        <d v="2034-09-27T00:00:00"/>
        <d v="2034-09-28T00:00:00"/>
        <d v="2034-09-29T00:00:00"/>
        <d v="2034-09-30T00:00:00"/>
        <d v="2034-10-01T00:00:00"/>
        <d v="2034-10-02T00:00:00"/>
        <d v="2034-10-03T00:00:00"/>
        <d v="2034-10-04T00:00:00"/>
        <d v="2034-10-05T00:00:00"/>
        <d v="2034-10-06T00:00:00"/>
        <d v="2034-10-07T00:00:00"/>
        <d v="2034-10-08T00:00:00"/>
        <d v="2034-10-09T00:00:00"/>
        <d v="2034-10-10T00:00:00"/>
        <d v="2034-10-11T00:00:00"/>
        <d v="2034-10-12T00:00:00"/>
        <d v="2034-10-13T00:00:00"/>
        <d v="2034-10-14T00:00:00"/>
        <d v="2034-10-15T00:00:00"/>
        <d v="2034-10-16T00:00:00"/>
        <d v="2034-10-17T00:00:00"/>
        <d v="2034-10-18T00:00:00"/>
        <d v="2034-10-19T00:00:00"/>
        <d v="2034-10-20T00:00:00"/>
        <d v="2034-10-21T00:00:00"/>
        <d v="2034-10-22T00:00:00"/>
        <d v="2034-10-23T00:00:00"/>
        <d v="2034-10-24T00:00:00"/>
        <d v="2034-10-25T00:00:00"/>
        <d v="2034-10-26T00:00:00"/>
        <d v="2034-10-27T00:00:00"/>
        <d v="2034-10-28T00:00:00"/>
        <d v="2034-10-29T00:00:00"/>
        <d v="2034-10-30T00:00:00"/>
        <d v="2034-10-31T00:00:00"/>
        <d v="2034-11-01T00:00:00"/>
        <d v="2034-11-02T00:00:00"/>
        <d v="2034-11-03T00:00:00"/>
        <d v="2034-11-04T00:00:00"/>
        <d v="2034-11-05T00:00:00"/>
        <d v="2034-11-06T00:00:00"/>
        <d v="2034-11-07T00:00:00"/>
        <d v="2034-11-08T00:00:00"/>
        <d v="2034-11-09T00:00:00"/>
        <d v="2034-11-10T00:00:00"/>
        <d v="2034-11-11T00:00:00"/>
        <d v="2034-11-12T00:00:00"/>
        <d v="2034-11-13T00:00:00"/>
        <d v="2034-11-14T00:00:00"/>
        <d v="2034-11-15T00:00:00"/>
        <d v="2034-11-16T00:00:00"/>
        <d v="2034-11-17T00:00:00"/>
        <d v="2034-11-18T00:00:00"/>
        <d v="2034-11-19T00:00:00"/>
        <d v="2034-11-20T00:00:00"/>
        <d v="2034-11-21T00:00:00"/>
        <d v="2034-11-22T00:00:00"/>
        <d v="2034-11-23T00:00:00"/>
        <d v="2034-11-24T00:00:00"/>
        <d v="2034-11-25T00:00:00"/>
        <d v="2034-11-26T00:00:00"/>
        <d v="2034-11-27T00:00:00"/>
        <d v="2034-11-28T00:00:00"/>
        <d v="2034-11-29T00:00:00"/>
        <d v="2034-11-30T00:00:00"/>
        <d v="2034-12-01T00:00:00"/>
        <d v="2034-12-02T00:00:00"/>
        <d v="2034-12-03T00:00:00"/>
        <d v="2034-12-04T00:00:00"/>
        <d v="2034-12-05T00:00:00"/>
        <d v="2034-12-06T00:00:00"/>
        <d v="2034-12-07T00:00:00"/>
        <d v="2034-12-08T00:00:00"/>
        <d v="2034-12-09T00:00:00"/>
        <d v="2034-12-10T00:00:00"/>
        <d v="2034-12-11T00:00:00"/>
        <d v="2034-12-12T00:00:00"/>
        <d v="2034-12-13T00:00:00"/>
        <d v="2034-12-14T00:00:00"/>
        <d v="2034-12-15T00:00:00"/>
        <d v="2034-12-16T00:00:00"/>
        <d v="2034-12-17T00:00:00"/>
        <d v="2034-12-18T00:00:00"/>
        <d v="2034-12-19T00:00:00"/>
        <d v="2034-12-20T00:00:00"/>
        <d v="2034-12-21T00:00:00"/>
        <d v="2034-12-22T00:00:00"/>
        <d v="2034-12-23T00:00:00"/>
        <d v="2034-12-24T00:00:00"/>
        <d v="2034-12-25T00:00:00"/>
        <d v="2034-12-26T00:00:00"/>
        <d v="2034-12-27T00:00:00"/>
        <d v="2034-12-28T00:00:00"/>
        <d v="2034-12-29T00:00:00"/>
        <d v="2034-12-30T00:00:00"/>
        <d v="2034-12-31T00:00:00"/>
        <d v="2035-01-01T00:00:00"/>
        <d v="2035-01-02T00:00:00"/>
        <d v="2035-01-03T00:00:00"/>
        <d v="2035-01-04T00:00:00"/>
        <d v="2035-01-05T00:00:00"/>
        <d v="2035-01-06T00:00:00"/>
        <d v="2035-01-07T00:00:00"/>
        <d v="2035-01-08T00:00:00"/>
        <d v="2035-01-09T00:00:00"/>
        <d v="2035-01-10T00:00:00"/>
        <d v="2035-01-11T00:00:00"/>
        <d v="2035-01-12T00:00:00"/>
        <d v="2035-01-13T00:00:00"/>
        <d v="2035-01-14T00:00:00"/>
        <d v="2035-01-15T00:00:00"/>
        <d v="2035-01-16T00:00:00"/>
        <d v="2035-01-17T00:00:00"/>
        <d v="2035-01-18T00:00:00"/>
        <d v="2035-01-19T00:00:00"/>
        <d v="2035-01-20T00:00:00"/>
        <d v="2035-01-21T00:00:00"/>
        <d v="2035-01-22T00:00:00"/>
        <d v="2035-01-23T00:00:00"/>
        <d v="2035-01-24T00:00:00"/>
        <d v="2035-01-25T00:00:00"/>
        <d v="2035-01-26T00:00:00"/>
        <d v="2035-01-27T00:00:00"/>
        <d v="2035-01-28T00:00:00"/>
        <d v="2035-01-29T00:00:00"/>
        <d v="2035-01-30T00:00:00"/>
        <d v="2035-01-31T00:00:00"/>
        <d v="2035-02-01T00:00:00"/>
        <d v="2035-02-02T00:00:00"/>
        <d v="2035-02-03T00:00:00"/>
        <d v="2035-02-04T00:00:00"/>
        <d v="2035-02-05T00:00:00"/>
        <d v="2035-02-06T00:00:00"/>
        <d v="2035-02-07T00:00:00"/>
        <d v="2035-02-08T00:00:00"/>
        <d v="2035-02-09T00:00:00"/>
        <d v="2035-02-10T00:00:00"/>
        <d v="2035-02-11T00:00:00"/>
        <d v="2035-02-12T00:00:00"/>
        <d v="2035-02-13T00:00:00"/>
        <d v="2035-02-14T00:00:00"/>
        <d v="2035-02-15T00:00:00"/>
        <d v="2035-02-16T00:00:00"/>
        <d v="2035-02-17T00:00:00"/>
        <d v="2035-02-18T00:00:00"/>
        <d v="2035-02-19T00:00:00"/>
        <d v="2035-02-20T00:00:00"/>
        <d v="2035-02-21T00:00:00"/>
        <d v="2035-02-22T00:00:00"/>
        <d v="2035-02-23T00:00:00"/>
        <d v="2035-02-24T00:00:00"/>
        <d v="2035-02-25T00:00:00"/>
        <d v="2035-02-26T00:00:00"/>
        <d v="2035-02-27T00:00:00"/>
        <d v="2035-02-28T00:00:00"/>
        <d v="2035-03-01T00:00:00"/>
        <d v="2035-03-02T00:00:00"/>
        <d v="2035-03-03T00:00:00"/>
        <d v="2035-03-04T00:00:00"/>
        <d v="2035-03-05T00:00:00"/>
        <d v="2035-03-06T00:00:00"/>
        <d v="2035-03-07T00:00:00"/>
        <d v="2035-03-08T00:00:00"/>
        <d v="2035-03-09T00:00:00"/>
        <d v="2035-03-10T00:00:00"/>
        <d v="2035-03-11T00:00:00"/>
        <d v="2035-03-12T00:00:00"/>
        <d v="2035-03-13T00:00:00"/>
        <d v="2035-03-14T00:00:00"/>
        <d v="2035-03-15T00:00:00"/>
        <d v="2035-03-16T00:00:00"/>
        <d v="2035-03-17T00:00:00"/>
        <d v="2035-03-18T00:00:00"/>
        <d v="2035-03-19T00:00:00"/>
        <d v="2035-03-20T00:00:00"/>
        <d v="2035-03-21T00:00:00"/>
        <d v="2035-03-22T00:00:00"/>
        <d v="2035-03-23T00:00:00"/>
        <d v="2035-03-24T00:00:00"/>
        <d v="2035-03-25T00:00:00"/>
        <d v="2035-03-26T00:00:00"/>
        <d v="2035-03-27T00:00:00"/>
        <d v="2035-03-28T00:00:00"/>
        <d v="2035-03-29T00:00:00"/>
        <d v="2035-03-30T00:00:00"/>
        <d v="2035-03-31T00:00:00"/>
        <d v="2035-04-01T00:00:00"/>
        <d v="2035-04-02T00:00:00"/>
        <d v="2035-04-03T00:00:00"/>
        <d v="2035-04-04T00:00:00"/>
        <d v="2035-04-05T00:00:00"/>
        <d v="2035-04-06T00:00:00"/>
        <d v="2035-04-07T00:00:00"/>
        <d v="2035-04-08T00:00:00"/>
        <d v="2035-04-09T00:00:00"/>
        <d v="2035-04-10T00:00:00"/>
        <d v="2035-04-11T00:00:00"/>
        <d v="2035-04-12T00:00:00"/>
        <d v="2035-04-13T00:00:00"/>
        <d v="2035-04-14T00:00:00"/>
        <d v="2035-04-15T00:00:00"/>
        <d v="2035-04-16T00:00:00"/>
        <d v="2035-04-17T00:00:00"/>
        <d v="2035-04-18T00:00:00"/>
        <d v="2035-04-19T00:00:00"/>
        <d v="2035-04-20T00:00:00"/>
        <d v="2035-04-21T00:00:00"/>
        <d v="2035-04-22T00:00:00"/>
        <d v="2035-04-23T00:00:00"/>
        <d v="2035-04-24T00:00:00"/>
        <d v="2035-04-25T00:00:00"/>
        <d v="2035-04-26T00:00:00"/>
        <d v="2035-04-27T00:00:00"/>
        <d v="2035-04-28T00:00:00"/>
        <d v="2035-04-29T00:00:00"/>
        <d v="2035-04-30T00:00:00"/>
        <d v="2035-05-01T00:00:00"/>
        <d v="2035-05-02T00:00:00"/>
        <d v="2035-05-03T00:00:00"/>
        <d v="2035-05-04T00:00:00"/>
        <d v="2035-05-05T00:00:00"/>
        <d v="2035-05-06T00:00:00"/>
        <d v="2035-05-07T00:00:00"/>
        <d v="2035-05-08T00:00:00"/>
        <d v="2035-05-09T00:00:00"/>
        <d v="2035-05-10T00:00:00"/>
        <d v="2035-05-11T00:00:00"/>
        <d v="2035-05-12T00:00:00"/>
        <d v="2035-05-13T00:00:00"/>
        <d v="2035-05-14T00:00:00"/>
        <d v="2035-05-15T00:00:00"/>
        <d v="2035-05-16T00:00:00"/>
        <d v="2035-05-17T00:00:00"/>
        <d v="2035-05-18T00:00:00"/>
        <d v="2035-05-19T00:00:00"/>
        <d v="2035-05-20T00:00:00"/>
        <d v="2035-05-21T00:00:00"/>
        <d v="2035-05-22T00:00:00"/>
        <d v="2035-05-23T00:00:00"/>
        <d v="2035-05-24T00:00:00"/>
        <d v="2035-05-25T00:00:00"/>
        <d v="2035-05-26T00:00:00"/>
        <d v="2035-05-27T00:00:00"/>
        <d v="2035-05-28T00:00:00"/>
        <d v="2035-05-29T00:00:00"/>
        <d v="2035-05-30T00:00:00"/>
        <d v="2035-05-31T00:00:00"/>
        <d v="2035-06-01T00:00:00"/>
        <d v="2035-06-02T00:00:00"/>
        <d v="2035-06-03T00:00:00"/>
        <d v="2035-06-04T00:00:00"/>
        <d v="2035-06-05T00:00:00"/>
        <d v="2035-06-06T00:00:00"/>
        <d v="2035-06-07T00:00:00"/>
        <d v="2035-06-08T00:00:00"/>
        <d v="2035-06-09T00:00:00"/>
        <d v="2035-06-10T00:00:00"/>
        <d v="2035-06-11T00:00:00"/>
        <d v="2035-06-12T00:00:00"/>
        <d v="2035-06-13T00:00:00"/>
        <d v="2035-06-14T00:00:00"/>
        <d v="2035-06-15T00:00:00"/>
        <d v="2035-06-16T00:00:00"/>
        <d v="2035-06-17T00:00:00"/>
        <d v="2035-06-18T00:00:00"/>
        <d v="2035-06-19T00:00:00"/>
        <d v="2035-06-20T00:00:00"/>
        <d v="2035-06-21T00:00:00"/>
        <d v="2035-06-22T00:00:00"/>
        <d v="2035-06-23T00:00:00"/>
        <d v="2035-06-24T00:00:00"/>
        <d v="2035-06-25T00:00:00"/>
        <d v="2035-06-26T00:00:00"/>
        <d v="2035-06-27T00:00:00"/>
        <d v="2035-06-28T00:00:00"/>
        <d v="2035-06-29T00:00:00"/>
        <d v="2035-06-30T00:00:00"/>
        <d v="2035-07-01T00:00:00"/>
        <d v="2035-07-02T00:00:00"/>
        <d v="2035-07-03T00:00:00"/>
        <d v="2035-07-04T00:00:00"/>
        <d v="2035-07-05T00:00:00"/>
        <d v="2035-07-06T00:00:00"/>
        <d v="2035-07-07T00:00:00"/>
        <d v="2035-07-08T00:00:00"/>
        <d v="2035-07-09T00:00:00"/>
        <d v="2035-07-10T00:00:00"/>
        <d v="2035-07-11T00:00:00"/>
        <d v="2035-07-12T00:00:00"/>
        <d v="2035-07-13T00:00:00"/>
        <d v="2035-07-14T00:00:00"/>
        <d v="2035-07-15T00:00:00"/>
        <d v="2035-07-16T00:00:00"/>
        <d v="2035-07-17T00:00:00"/>
        <d v="2035-07-18T00:00:00"/>
        <d v="2035-07-19T00:00:00"/>
        <d v="2035-07-20T00:00:00"/>
        <d v="2035-07-21T00:00:00"/>
        <d v="2035-07-22T00:00:00"/>
        <d v="2035-07-23T00:00:00"/>
        <d v="2035-07-24T00:00:00"/>
        <d v="2035-07-25T00:00:00"/>
        <d v="2035-07-26T00:00:00"/>
        <d v="2035-07-27T00:00:00"/>
        <d v="2035-07-28T00:00:00"/>
        <d v="2035-07-29T00:00:00"/>
        <d v="2035-07-30T00:00:00"/>
        <d v="2035-07-31T00:00:00"/>
        <d v="2035-08-01T00:00:00"/>
        <d v="2035-08-02T00:00:00"/>
        <d v="2035-08-03T00:00:00"/>
        <d v="2035-08-04T00:00:00"/>
        <d v="2035-08-05T00:00:00"/>
        <d v="2035-08-06T00:00:00"/>
        <d v="2035-08-07T00:00:00"/>
        <d v="2035-08-08T00:00:00"/>
        <d v="2035-08-09T00:00:00"/>
        <d v="2035-08-10T00:00:00"/>
        <d v="2035-08-11T00:00:00"/>
        <d v="2035-08-12T00:00:00"/>
        <d v="2035-08-13T00:00:00"/>
        <d v="2035-08-14T00:00:00"/>
        <d v="2035-08-15T00:00:00"/>
        <d v="2035-08-16T00:00:00"/>
        <d v="2035-08-17T00:00:00"/>
        <d v="2035-08-18T00:00:00"/>
        <d v="2035-08-19T00:00:00"/>
        <d v="2035-08-20T00:00:00"/>
        <d v="2035-08-21T00:00:00"/>
        <d v="2035-08-22T00:00:00"/>
        <d v="2035-08-23T00:00:00"/>
        <d v="2035-08-24T00:00:00"/>
        <d v="2035-08-25T00:00:00"/>
        <d v="2035-08-26T00:00:00"/>
        <d v="2035-08-27T00:00:00"/>
        <d v="2035-08-28T00:00:00"/>
        <d v="2035-08-29T00:00:00"/>
        <d v="2035-08-30T00:00:00"/>
        <d v="2035-08-31T00:00:00"/>
        <d v="2035-09-01T00:00:00"/>
        <d v="2035-09-02T00:00:00"/>
        <d v="2035-09-03T00:00:00"/>
        <d v="2035-09-04T00:00:00"/>
        <d v="2035-09-05T00:00:00"/>
        <d v="2035-09-06T00:00:00"/>
        <d v="2035-09-07T00:00:00"/>
        <d v="2035-09-08T00:00:00"/>
        <d v="2035-09-09T00:00:00"/>
        <d v="2035-09-10T00:00:00"/>
        <d v="2035-09-11T00:00:00"/>
        <d v="2035-09-12T00:00:00"/>
        <d v="2035-09-13T00:00:00"/>
        <d v="2035-09-14T00:00:00"/>
        <d v="2035-09-15T00:00:00"/>
        <d v="2035-09-16T00:00:00"/>
        <d v="2035-09-17T00:00:00"/>
        <d v="2035-09-18T00:00:00"/>
        <d v="2035-09-19T00:00:00"/>
        <d v="2035-09-20T00:00:00"/>
        <d v="2035-09-21T00:00:00"/>
        <d v="2035-09-22T00:00:00"/>
        <d v="2035-09-23T00:00:00"/>
        <d v="2035-09-24T00:00:00"/>
        <d v="2035-09-25T00:00:00"/>
        <d v="2035-09-26T00:00:00"/>
        <d v="2035-09-27T00:00:00"/>
        <d v="2035-09-28T00:00:00"/>
        <d v="2035-09-29T00:00:00"/>
        <d v="2035-09-30T00:00:00"/>
        <d v="2035-10-01T00:00:00"/>
        <d v="2035-10-02T00:00:00"/>
        <d v="2035-10-03T00:00:00"/>
        <d v="2035-10-04T00:00:00"/>
        <d v="2035-10-05T00:00:00"/>
        <d v="2035-10-06T00:00:00"/>
        <d v="2035-10-07T00:00:00"/>
        <d v="2035-10-08T00:00:00"/>
        <d v="2035-10-09T00:00:00"/>
        <d v="2035-10-10T00:00:00"/>
        <d v="2035-10-11T00:00:00"/>
        <d v="2035-10-12T00:00:00"/>
        <d v="2035-10-13T00:00:00"/>
        <d v="2035-10-14T00:00:00"/>
        <d v="2035-10-15T00:00:00"/>
        <d v="2035-10-16T00:00:00"/>
        <d v="2035-10-17T00:00:00"/>
        <d v="2035-10-18T00:00:00"/>
        <d v="2035-10-19T00:00:00"/>
        <d v="2035-10-20T00:00:00"/>
        <d v="2035-10-21T00:00:00"/>
        <d v="2035-10-22T00:00:00"/>
        <d v="2035-10-23T00:00:00"/>
        <d v="2035-10-24T00:00:00"/>
        <d v="2035-10-25T00:00:00"/>
        <d v="2035-10-26T00:00:00"/>
        <d v="2035-10-27T00:00:00"/>
        <d v="2035-10-28T00:00:00"/>
        <d v="2035-10-29T00:00:00"/>
        <d v="2035-10-30T00:00:00"/>
        <d v="2035-10-31T00:00:00"/>
        <d v="2035-11-01T00:00:00"/>
        <d v="2035-11-02T00:00:00"/>
        <d v="2035-11-03T00:00:00"/>
        <d v="2035-11-04T00:00:00"/>
        <d v="2035-11-05T00:00:00"/>
        <d v="2035-11-06T00:00:00"/>
        <d v="2035-11-07T00:00:00"/>
        <d v="2035-11-08T00:00:00"/>
        <d v="2035-11-09T00:00:00"/>
        <d v="2035-11-10T00:00:00"/>
        <d v="2035-11-11T00:00:00"/>
        <d v="2035-11-12T00:00:00"/>
        <d v="2035-11-13T00:00:00"/>
        <d v="2035-11-14T00:00:00"/>
        <d v="2035-11-15T00:00:00"/>
        <d v="2035-11-16T00:00:00"/>
        <d v="2035-11-17T00:00:00"/>
        <d v="2035-11-18T00:00:00"/>
        <d v="2035-11-19T00:00:00"/>
        <d v="2035-11-20T00:00:00"/>
        <d v="2035-11-21T00:00:00"/>
        <d v="2035-11-22T00:00:00"/>
        <d v="2035-11-23T00:00:00"/>
        <d v="2035-11-24T00:00:00"/>
        <d v="2035-11-25T00:00:00"/>
        <d v="2035-11-26T00:00:00"/>
        <d v="2035-11-27T00:00:00"/>
        <d v="2035-11-28T00:00:00"/>
        <d v="2035-11-29T00:00:00"/>
        <d v="2035-11-30T00:00:00"/>
        <d v="2035-12-01T00:00:00"/>
        <d v="2035-12-02T00:00:00"/>
        <d v="2035-12-03T00:00:00"/>
        <d v="2035-12-04T00:00:00"/>
        <d v="2035-12-05T00:00:00"/>
        <d v="2035-12-06T00:00:00"/>
        <d v="2035-12-07T00:00:00"/>
        <d v="2035-12-08T00:00:00"/>
        <d v="2035-12-09T00:00:00"/>
        <d v="2035-12-10T00:00:00"/>
        <d v="2035-12-11T00:00:00"/>
        <d v="2035-12-12T00:00:00"/>
        <d v="2035-12-13T00:00:00"/>
        <d v="2035-12-14T00:00:00"/>
        <d v="2035-12-15T00:00:00"/>
        <d v="2035-12-16T00:00:00"/>
        <d v="2035-12-17T00:00:00"/>
        <d v="2035-12-18T00:00:00"/>
        <d v="2035-12-19T00:00:00"/>
        <d v="2035-12-20T00:00:00"/>
        <d v="2035-12-21T00:00:00"/>
        <d v="2035-12-22T00:00:00"/>
        <d v="2035-12-23T00:00:00"/>
        <d v="2035-12-24T00:00:00"/>
        <d v="2035-12-25T00:00:00"/>
        <d v="2035-12-26T00:00:00"/>
        <d v="2035-12-27T00:00:00"/>
        <d v="2035-12-28T00:00:00"/>
        <d v="2035-12-29T00:00:00"/>
        <d v="2035-12-30T00:00:00"/>
        <d v="2035-12-31T00:00:00"/>
        <d v="2036-01-01T00:00:00"/>
        <d v="2036-01-02T00:00:00"/>
        <d v="2036-01-03T00:00:00"/>
        <d v="2036-01-04T00:00:00"/>
        <d v="2036-01-05T00:00:00"/>
        <d v="2036-01-06T00:00:00"/>
        <d v="2036-01-07T00:00:00"/>
        <d v="2036-01-08T00:00:00"/>
        <d v="2036-01-09T00:00:00"/>
        <d v="2036-01-10T00:00:00"/>
        <d v="2036-01-11T00:00:00"/>
        <d v="2036-01-12T00:00:00"/>
        <d v="2036-01-13T00:00:00"/>
        <d v="2036-01-14T00:00:00"/>
        <d v="2036-01-15T00:00:00"/>
        <d v="2036-01-16T00:00:00"/>
        <d v="2036-01-17T00:00:00"/>
        <d v="2036-01-18T00:00:00"/>
        <d v="2036-01-19T00:00:00"/>
        <d v="2036-01-20T00:00:00"/>
        <d v="2036-01-21T00:00:00"/>
        <d v="2036-01-22T00:00:00"/>
        <d v="2036-01-23T00:00:00"/>
        <d v="2036-01-24T00:00:00"/>
        <d v="2036-01-25T00:00:00"/>
        <d v="2036-01-26T00:00:00"/>
        <d v="2036-01-27T00:00:00"/>
        <d v="2036-01-28T00:00:00"/>
        <d v="2036-01-29T00:00:00"/>
        <d v="2036-01-30T00:00:00"/>
        <d v="2036-01-31T00:00:00"/>
        <d v="2036-02-01T00:00:00"/>
        <d v="2036-02-02T00:00:00"/>
        <d v="2036-02-03T00:00:00"/>
        <d v="2036-02-04T00:00:00"/>
        <d v="2036-02-05T00:00:00"/>
        <d v="2036-02-06T00:00:00"/>
        <d v="2036-02-07T00:00:00"/>
        <d v="2036-02-08T00:00:00"/>
        <d v="2036-02-09T00:00:00"/>
        <d v="2036-02-10T00:00:00"/>
        <d v="2036-02-11T00:00:00"/>
        <d v="2036-02-12T00:00:00"/>
        <d v="2036-02-13T00:00:00"/>
        <d v="2036-02-14T00:00:00"/>
        <d v="2036-02-15T00:00:00"/>
        <d v="2036-02-16T00:00:00"/>
        <d v="2036-02-17T00:00:00"/>
        <d v="2036-02-18T00:00:00"/>
        <d v="2036-02-19T00:00:00"/>
        <d v="2036-02-20T00:00:00"/>
        <d v="2036-02-21T00:00:00"/>
        <d v="2036-02-22T00:00:00"/>
        <d v="2036-02-23T00:00:00"/>
        <d v="2036-02-24T00:00:00"/>
        <d v="2036-02-25T00:00:00"/>
        <d v="2036-02-26T00:00:00"/>
        <d v="2036-02-27T00:00:00"/>
        <d v="2036-02-28T00:00:00"/>
        <d v="2036-02-29T00:00:00"/>
        <d v="2036-03-01T00:00:00"/>
        <d v="2036-03-02T00:00:00"/>
        <d v="2036-03-03T00:00:00"/>
        <d v="2036-03-04T00:00:00"/>
        <d v="2036-03-05T00:00:00"/>
        <d v="2036-03-06T00:00:00"/>
        <d v="2036-03-07T00:00:00"/>
        <d v="2036-03-08T00:00:00"/>
        <d v="2036-03-09T00:00:00"/>
        <d v="2036-03-10T00:00:00"/>
        <d v="2036-03-11T00:00:00"/>
        <d v="2036-03-12T00:00:00"/>
        <d v="2036-03-13T00:00:00"/>
        <d v="2036-03-14T00:00:00"/>
        <d v="2036-03-15T00:00:00"/>
        <d v="2036-03-16T00:00:00"/>
        <d v="2036-03-17T00:00:00"/>
        <d v="2036-03-18T00:00:00"/>
        <d v="2036-03-19T00:00:00"/>
        <d v="2036-03-20T00:00:00"/>
        <d v="2036-03-21T00:00:00"/>
        <d v="2036-03-22T00:00:00"/>
        <d v="2036-03-23T00:00:00"/>
        <d v="2036-03-24T00:00:00"/>
        <d v="2036-03-25T00:00:00"/>
        <d v="2036-03-26T00:00:00"/>
        <d v="2036-03-27T00:00:00"/>
        <d v="2036-03-28T00:00:00"/>
        <d v="2036-03-29T00:00:00"/>
        <d v="2036-03-30T00:00:00"/>
        <d v="2036-03-31T00:00:00"/>
        <d v="2036-04-01T00:00:00"/>
        <d v="2036-04-02T00:00:00"/>
        <d v="2036-04-03T00:00:00"/>
        <d v="2036-04-04T00:00:00"/>
        <d v="2036-04-05T00:00:00"/>
        <d v="2036-04-06T00:00:00"/>
        <d v="2036-04-07T00:00:00"/>
        <d v="2036-04-08T00:00:00"/>
        <d v="2036-04-09T00:00:00"/>
        <d v="2036-04-10T00:00:00"/>
        <d v="2036-04-11T00:00:00"/>
        <d v="2036-04-12T00:00:00"/>
        <d v="2036-04-13T00:00:00"/>
        <d v="2036-04-14T00:00:00"/>
        <d v="2036-04-15T00:00:00"/>
        <d v="2036-04-16T00:00:00"/>
        <d v="2036-04-17T00:00:00"/>
        <d v="2036-04-18T00:00:00"/>
        <d v="2036-04-19T00:00:00"/>
        <d v="2036-04-20T00:00:00"/>
        <d v="2036-04-21T00:00:00"/>
        <d v="2036-04-22T00:00:00"/>
        <d v="2036-04-23T00:00:00"/>
        <d v="2036-04-24T00:00:00"/>
        <d v="2036-04-25T00:00:00"/>
        <d v="2036-04-26T00:00:00"/>
        <d v="2036-04-27T00:00:00"/>
        <d v="2036-04-28T00:00:00"/>
        <d v="2036-04-29T00:00:00"/>
        <d v="2036-04-30T00:00:00"/>
        <d v="2036-05-01T00:00:00"/>
        <d v="2036-05-02T00:00:00"/>
        <d v="2036-05-03T00:00:00"/>
        <d v="2036-05-04T00:00:00"/>
        <d v="2036-05-05T00:00:00"/>
        <d v="2036-05-06T00:00:00"/>
        <d v="2036-05-07T00:00:00"/>
        <d v="2036-05-08T00:00:00"/>
        <d v="2036-05-09T00:00:00"/>
        <d v="2036-05-10T00:00:00"/>
        <d v="2036-05-11T00:00:00"/>
        <d v="2036-05-12T00:00:00"/>
        <d v="2036-05-13T00:00:00"/>
        <d v="2036-05-14T00:00:00"/>
        <d v="2036-05-15T00:00:00"/>
        <d v="2036-05-16T00:00:00"/>
        <d v="2036-05-17T00:00:00"/>
        <d v="2036-05-18T00:00:00"/>
        <d v="2036-05-19T00:00:00"/>
        <d v="2036-05-20T00:00:00"/>
        <d v="2036-05-21T00:00:00"/>
        <d v="2036-05-22T00:00:00"/>
        <d v="2036-05-23T00:00:00"/>
        <d v="2036-05-24T00:00:00"/>
        <d v="2036-05-25T00:00:00"/>
        <d v="2036-05-26T00:00:00"/>
        <d v="2036-05-27T00:00:00"/>
        <d v="2036-05-28T00:00:00"/>
        <d v="2036-05-29T00:00:00"/>
        <d v="2036-05-30T00:00:00"/>
        <d v="2036-05-31T00:00:00"/>
        <d v="2036-06-01T00:00:00"/>
        <d v="2036-06-02T00:00:00"/>
        <d v="2036-06-03T00:00:00"/>
        <d v="2036-06-04T00:00:00"/>
        <d v="2036-06-05T00:00:00"/>
        <d v="2036-06-06T00:00:00"/>
        <d v="2036-06-07T00:00:00"/>
        <d v="2036-06-08T00:00:00"/>
        <d v="2036-06-09T00:00:00"/>
        <d v="2036-06-10T00:00:00"/>
        <d v="2036-06-11T00:00:00"/>
        <d v="2036-06-12T00:00:00"/>
        <d v="2036-06-13T00:00:00"/>
        <d v="2036-06-14T00:00:00"/>
        <d v="2036-06-15T00:00:00"/>
        <d v="2036-06-16T00:00:00"/>
        <d v="2036-06-17T00:00:00"/>
        <d v="2036-06-18T00:00:00"/>
        <d v="2036-06-19T00:00:00"/>
        <d v="2036-06-20T00:00:00"/>
        <d v="2036-06-21T00:00:00"/>
        <d v="2036-06-22T00:00:00"/>
        <d v="2036-06-23T00:00:00"/>
        <d v="2036-06-24T00:00:00"/>
        <d v="2036-06-25T00:00:00"/>
        <d v="2036-06-26T00:00:00"/>
        <d v="2036-06-27T00:00:00"/>
        <d v="2036-06-28T00:00:00"/>
        <d v="2036-06-29T00:00:00"/>
        <d v="2036-06-30T00:00:00"/>
        <d v="2036-07-01T00:00:00"/>
        <d v="2036-07-02T00:00:00"/>
        <d v="2036-07-03T00:00:00"/>
        <d v="2036-07-04T00:00:00"/>
        <d v="2036-07-05T00:00:00"/>
        <d v="2036-07-06T00:00:00"/>
        <d v="2036-07-07T00:00:00"/>
        <d v="2036-07-08T00:00:00"/>
        <d v="2036-07-09T00:00:00"/>
        <d v="2036-07-10T00:00:00"/>
        <d v="2036-07-11T00:00:00"/>
        <d v="2036-07-12T00:00:00"/>
        <d v="2036-07-13T00:00:00"/>
        <d v="2036-07-14T00:00:00"/>
        <d v="2036-07-15T00:00:00"/>
        <d v="2036-07-16T00:00:00"/>
        <d v="2036-07-17T00:00:00"/>
        <d v="2036-07-18T00:00:00"/>
        <d v="2036-07-19T00:00:00"/>
        <d v="2036-07-20T00:00:00"/>
        <d v="2036-07-21T00:00:00"/>
        <d v="2036-07-22T00:00:00"/>
        <d v="2036-07-23T00:00:00"/>
        <d v="2036-07-24T00:00:00"/>
        <d v="2036-07-25T00:00:00"/>
        <d v="2036-07-26T00:00:00"/>
        <d v="2036-07-27T00:00:00"/>
        <d v="2036-07-28T00:00:00"/>
        <d v="2036-07-29T00:00:00"/>
        <d v="2036-07-30T00:00:00"/>
        <d v="2036-07-31T00:00:00"/>
        <d v="2036-08-01T00:00:00"/>
        <d v="2036-08-02T00:00:00"/>
        <d v="2036-08-03T00:00:00"/>
        <d v="2036-08-04T00:00:00"/>
        <d v="2036-08-05T00:00:00"/>
        <d v="2036-08-06T00:00:00"/>
        <d v="2036-08-07T00:00:00"/>
        <d v="2036-08-08T00:00:00"/>
        <d v="2036-08-09T00:00:00"/>
        <d v="2036-08-10T00:00:00"/>
        <d v="2036-08-11T00:00:00"/>
        <d v="2036-08-12T00:00:00"/>
        <d v="2036-08-13T00:00:00"/>
        <d v="2036-08-14T00:00:00"/>
        <d v="2036-08-15T00:00:00"/>
        <d v="2036-08-16T00:00:00"/>
        <d v="2036-08-17T00:00:00"/>
        <d v="2036-08-18T00:00:00"/>
        <d v="2036-08-19T00:00:00"/>
        <d v="2036-08-20T00:00:00"/>
        <d v="2036-08-21T00:00:00"/>
        <d v="2036-08-22T00:00:00"/>
        <d v="2036-08-23T00:00:00"/>
        <d v="2036-08-24T00:00:00"/>
        <d v="2036-08-25T00:00:00"/>
        <d v="2036-08-26T00:00:00"/>
        <d v="2036-08-27T00:00:00"/>
        <d v="2036-08-28T00:00:00"/>
        <d v="2036-08-29T00:00:00"/>
        <d v="2036-08-30T00:00:00"/>
        <d v="2036-08-31T00:00:00"/>
        <d v="2036-09-01T00:00:00"/>
        <d v="2036-09-02T00:00:00"/>
        <d v="2036-09-03T00:00:00"/>
        <d v="2036-09-04T00:00:00"/>
        <d v="2036-09-05T00:00:00"/>
        <d v="2036-09-06T00:00:00"/>
        <d v="2036-09-07T00:00:00"/>
        <d v="2036-09-08T00:00:00"/>
        <d v="2036-09-09T00:00:00"/>
        <d v="2036-09-10T00:00:00"/>
        <d v="2036-09-11T00:00:00"/>
        <d v="2036-09-12T00:00:00"/>
        <d v="2036-09-13T00:00:00"/>
        <d v="2036-09-14T00:00:00"/>
        <d v="2036-09-15T00:00:00"/>
        <d v="2036-09-16T00:00:00"/>
        <d v="2036-09-17T00:00:00"/>
        <d v="2036-09-18T00:00:00"/>
        <d v="2036-09-19T00:00:00"/>
        <d v="2036-09-20T00:00:00"/>
        <d v="2036-09-21T00:00:00"/>
        <d v="2036-09-22T00:00:00"/>
        <d v="2036-09-23T00:00:00"/>
        <d v="2036-09-24T00:00:00"/>
        <d v="2036-09-25T00:00:00"/>
        <d v="2036-09-26T00:00:00"/>
        <d v="2036-09-27T00:00:00"/>
        <d v="2036-09-28T00:00:00"/>
        <d v="2036-09-29T00:00:00"/>
        <d v="2036-09-30T00:00:00"/>
        <d v="2036-10-01T00:00:00"/>
        <d v="2036-10-02T00:00:00"/>
        <d v="2036-10-03T00:00:00"/>
        <d v="2036-10-04T00:00:00"/>
        <d v="2036-10-05T00:00:00"/>
        <d v="2036-10-06T00:00:00"/>
        <d v="2036-10-07T00:00:00"/>
        <d v="2036-10-08T00:00:00"/>
        <d v="2036-10-09T00:00:00"/>
        <d v="2036-10-10T00:00:00"/>
        <d v="2036-10-11T00:00:00"/>
        <d v="2036-10-12T00:00:00"/>
        <d v="2036-10-13T00:00:00"/>
        <d v="2036-10-14T00:00:00"/>
        <d v="2036-10-15T00:00:00"/>
        <d v="2036-10-16T00:00:00"/>
        <d v="2036-10-17T00:00:00"/>
        <d v="2036-10-18T00:00:00"/>
        <d v="2036-10-19T00:00:00"/>
        <d v="2036-10-20T00:00:00"/>
        <d v="2036-10-21T00:00:00"/>
        <d v="2036-10-22T00:00:00"/>
        <d v="2036-10-23T00:00:00"/>
        <d v="2036-10-24T00:00:00"/>
        <d v="2036-10-25T00:00:00"/>
        <d v="2036-10-26T00:00:00"/>
        <d v="2036-10-27T00:00:00"/>
        <d v="2036-10-28T00:00:00"/>
        <d v="2036-10-29T00:00:00"/>
        <d v="2036-10-30T00:00:00"/>
        <d v="2036-10-31T00:00:00"/>
        <d v="2036-11-01T00:00:00"/>
        <d v="2036-11-02T00:00:00"/>
        <d v="2036-11-03T00:00:00"/>
        <d v="2036-11-04T00:00:00"/>
        <d v="2036-11-05T00:00:00"/>
        <d v="2036-11-06T00:00:00"/>
        <d v="2036-11-07T00:00:00"/>
        <d v="2036-11-08T00:00:00"/>
        <d v="2036-11-09T00:00:00"/>
        <d v="2036-11-10T00:00:00"/>
        <d v="2036-11-11T00:00:00"/>
        <d v="2036-11-12T00:00:00"/>
        <d v="2036-11-13T00:00:00"/>
        <d v="2036-11-14T00:00:00"/>
        <d v="2036-11-15T00:00:00"/>
        <d v="2036-11-16T00:00:00"/>
        <d v="2036-11-17T00:00:00"/>
        <d v="2036-11-18T00:00:00"/>
        <d v="2036-11-19T00:00:00"/>
        <d v="2036-11-20T00:00:00"/>
        <d v="2036-11-21T00:00:00"/>
        <d v="2036-11-22T00:00:00"/>
        <d v="2036-11-23T00:00:00"/>
        <d v="2036-11-24T00:00:00"/>
        <d v="2036-11-25T00:00:00"/>
        <d v="2036-11-26T00:00:00"/>
        <d v="2036-11-27T00:00:00"/>
        <d v="2036-11-28T00:00:00"/>
        <d v="2036-11-29T00:00:00"/>
        <d v="2036-11-30T00:00:00"/>
        <d v="2036-12-01T00:00:00"/>
        <d v="2036-12-02T00:00:00"/>
        <d v="2036-12-03T00:00:00"/>
        <d v="2036-12-04T00:00:00"/>
        <d v="2036-12-05T00:00:00"/>
        <d v="2036-12-06T00:00:00"/>
        <d v="2036-12-07T00:00:00"/>
        <d v="2036-12-08T00:00:00"/>
        <d v="2036-12-09T00:00:00"/>
        <d v="2036-12-10T00:00:00"/>
        <d v="2036-12-11T00:00:00"/>
        <d v="2036-12-12T00:00:00"/>
        <d v="2036-12-13T00:00:00"/>
        <d v="2036-12-14T00:00:00"/>
        <d v="2036-12-15T00:00:00"/>
        <d v="2036-12-16T00:00:00"/>
        <d v="2036-12-17T00:00:00"/>
        <d v="2036-12-18T00:00:00"/>
        <d v="2036-12-19T00:00:00"/>
        <d v="2036-12-20T00:00:00"/>
        <d v="2036-12-21T00:00:00"/>
        <d v="2036-12-22T00:00:00"/>
        <d v="2036-12-23T00:00:00"/>
        <d v="2036-12-24T00:00:00"/>
        <d v="2036-12-25T00:00:00"/>
        <d v="2036-12-26T00:00:00"/>
        <d v="2036-12-27T00:00:00"/>
        <d v="2036-12-28T00:00:00"/>
        <d v="2036-12-29T00:00:00"/>
        <d v="2036-12-30T00:00:00"/>
        <d v="2036-12-31T00:00:00"/>
        <d v="2037-01-01T00:00:00"/>
        <d v="2037-01-02T00:00:00"/>
        <d v="2037-01-03T00:00:00"/>
        <d v="2037-01-04T00:00:00"/>
        <d v="2037-01-05T00:00:00"/>
        <d v="2037-01-06T00:00:00"/>
        <d v="2037-01-07T00:00:00"/>
        <d v="2037-01-08T00:00:00"/>
        <d v="2037-01-09T00:00:00"/>
        <d v="2037-01-10T00:00:00"/>
        <d v="2037-01-11T00:00:00"/>
        <d v="2037-01-12T00:00:00"/>
        <d v="2037-01-13T00:00:00"/>
        <d v="2037-01-14T00:00:00"/>
        <d v="2037-01-15T00:00:00"/>
        <d v="2037-01-16T00:00:00"/>
        <d v="2037-01-17T00:00:00"/>
        <d v="2037-01-18T00:00:00"/>
        <d v="2037-01-19T00:00:00"/>
        <d v="2037-01-20T00:00:00"/>
        <d v="2037-01-21T00:00:00"/>
        <d v="2037-01-22T00:00:00"/>
        <d v="2037-01-23T00:00:00"/>
        <d v="2037-01-24T00:00:00"/>
        <d v="2037-01-25T00:00:00"/>
        <d v="2037-01-26T00:00:00"/>
        <d v="2037-01-27T00:00:00"/>
        <d v="2037-01-28T00:00:00"/>
        <d v="2037-01-29T00:00:00"/>
        <d v="2037-01-30T00:00:00"/>
        <d v="2037-01-31T00:00:00"/>
        <d v="2037-02-01T00:00:00"/>
        <d v="2037-02-02T00:00:00"/>
        <d v="2037-02-03T00:00:00"/>
        <d v="2037-02-04T00:00:00"/>
        <d v="2037-02-05T00:00:00"/>
        <d v="2037-02-06T00:00:00"/>
        <d v="2037-02-07T00:00:00"/>
        <d v="2037-02-08T00:00:00"/>
        <d v="2037-02-09T00:00:00"/>
        <d v="2037-02-10T00:00:00"/>
        <d v="2037-02-11T00:00:00"/>
        <d v="2037-02-12T00:00:00"/>
        <d v="2037-02-13T00:00:00"/>
        <d v="2037-02-14T00:00:00"/>
        <d v="2037-02-15T00:00:00"/>
        <d v="2037-02-16T00:00:00"/>
        <d v="2037-02-17T00:00:00"/>
        <d v="2037-02-18T00:00:00"/>
        <d v="2037-02-19T00:00:00"/>
        <d v="2037-02-20T00:00:00"/>
        <d v="2037-02-21T00:00:00"/>
        <d v="2037-02-22T00:00:00"/>
        <d v="2037-02-23T00:00:00"/>
        <d v="2037-02-24T00:00:00"/>
        <d v="2037-02-25T00:00:00"/>
        <d v="2037-02-26T00:00:00"/>
        <d v="2037-02-27T00:00:00"/>
        <d v="2037-02-28T00:00:00"/>
        <d v="2037-03-01T00:00:00"/>
        <d v="2037-03-02T00:00:00"/>
        <d v="2037-03-03T00:00:00"/>
        <d v="2037-03-04T00:00:00"/>
        <d v="2037-03-05T00:00:00"/>
        <d v="2037-03-06T00:00:00"/>
        <d v="2037-03-07T00:00:00"/>
        <d v="2037-03-08T00:00:00"/>
        <d v="2037-03-09T00:00:00"/>
        <d v="2037-03-10T00:00:00"/>
        <d v="2037-03-11T00:00:00"/>
        <d v="2037-03-12T00:00:00"/>
        <d v="2037-03-13T00:00:00"/>
        <d v="2037-03-14T00:00:00"/>
        <d v="2037-03-15T00:00:00"/>
        <d v="2037-03-16T00:00:00"/>
        <d v="2037-03-17T00:00:00"/>
        <d v="2037-03-18T00:00:00"/>
        <d v="2037-03-19T00:00:00"/>
        <d v="2037-03-20T00:00:00"/>
        <d v="2037-03-21T00:00:00"/>
        <d v="2037-03-22T00:00:00"/>
        <d v="2037-03-23T00:00:00"/>
        <d v="2037-03-24T00:00:00"/>
        <d v="2037-03-25T00:00:00"/>
        <d v="2037-03-26T00:00:00"/>
        <d v="2037-03-27T00:00:00"/>
        <d v="2037-03-28T00:00:00"/>
        <d v="2037-03-29T00:00:00"/>
        <d v="2037-03-30T00:00:00"/>
        <d v="2037-03-31T00:00:00"/>
        <d v="2037-04-01T00:00:00"/>
        <d v="2037-04-02T00:00:00"/>
        <d v="2037-04-03T00:00:00"/>
        <d v="2037-04-04T00:00:00"/>
        <d v="2037-04-05T00:00:00"/>
        <d v="2037-04-06T00:00:00"/>
        <d v="2037-04-07T00:00:00"/>
        <d v="2037-04-08T00:00:00"/>
        <d v="2037-04-09T00:00:00"/>
        <d v="2037-04-10T00:00:00"/>
        <d v="2037-04-11T00:00:00"/>
        <d v="2037-04-12T00:00:00"/>
        <d v="2037-04-13T00:00:00"/>
        <d v="2037-04-14T00:00:00"/>
        <d v="2037-04-15T00:00:00"/>
        <d v="2037-04-16T00:00:00"/>
        <d v="2037-04-17T00:00:00"/>
        <d v="2037-04-18T00:00:00"/>
        <d v="2037-04-19T00:00:00"/>
        <d v="2037-04-20T00:00:00"/>
        <d v="2037-04-21T00:00:00"/>
        <d v="2037-04-22T00:00:00"/>
        <d v="2037-04-23T00:00:00"/>
        <d v="2037-04-24T00:00:00"/>
        <d v="2037-04-25T00:00:00"/>
        <d v="2037-04-26T00:00:00"/>
        <d v="2037-04-27T00:00:00"/>
        <d v="2037-04-28T00:00:00"/>
        <d v="2037-04-29T00:00:00"/>
        <d v="2037-04-30T00:00:00"/>
        <d v="2037-05-01T00:00:00"/>
        <d v="2037-05-02T00:00:00"/>
        <d v="2037-05-03T00:00:00"/>
        <d v="2037-05-04T00:00:00"/>
        <d v="2037-05-05T00:00:00"/>
        <d v="2037-05-06T00:00:00"/>
        <d v="2037-05-07T00:00:00"/>
        <d v="2037-05-08T00:00:00"/>
        <d v="2037-05-09T00:00:00"/>
        <d v="2037-05-10T00:00:00"/>
        <d v="2037-05-11T00:00:00"/>
        <d v="2037-05-12T00:00:00"/>
        <d v="2037-05-13T00:00:00"/>
        <d v="2037-05-14T00:00:00"/>
        <d v="2037-05-15T00:00:00"/>
        <d v="2037-05-16T00:00:00"/>
        <d v="2037-05-17T00:00:00"/>
        <d v="2037-05-18T00:00:00"/>
        <d v="2037-05-19T00:00:00"/>
        <d v="2037-05-20T00:00:00"/>
        <d v="2037-05-21T00:00:00"/>
        <d v="2037-05-22T00:00:00"/>
        <d v="2037-05-23T00:00:00"/>
        <d v="2037-05-24T00:00:00"/>
        <d v="2037-05-25T00:00:00"/>
        <d v="2037-05-26T00:00:00"/>
        <d v="2037-05-27T00:00:00"/>
        <d v="2037-05-28T00:00:00"/>
        <d v="2037-05-29T00:00:00"/>
        <d v="2037-05-30T00:00:00"/>
        <d v="2037-05-31T00:00:00"/>
        <d v="2037-06-01T00:00:00"/>
        <d v="2037-06-02T00:00:00"/>
        <d v="2037-06-03T00:00:00"/>
        <d v="2037-06-04T00:00:00"/>
        <d v="2037-06-05T00:00:00"/>
        <d v="2037-06-06T00:00:00"/>
        <d v="2037-06-07T00:00:00"/>
        <d v="2037-06-08T00:00:00"/>
        <d v="2037-06-09T00:00:00"/>
        <d v="2037-06-10T00:00:00"/>
        <d v="2037-06-11T00:00:00"/>
        <d v="2037-06-12T00:00:00"/>
        <d v="2037-06-13T00:00:00"/>
        <d v="2037-06-14T00:00:00"/>
        <d v="2037-06-15T00:00:00"/>
        <d v="2037-06-16T00:00:00"/>
        <d v="2037-06-17T00:00:00"/>
        <d v="2037-06-18T00:00:00"/>
        <d v="2037-06-19T00:00:00"/>
        <d v="2037-06-20T00:00:00"/>
        <d v="2037-06-21T00:00:00"/>
        <d v="2037-06-22T00:00:00"/>
        <d v="2037-06-23T00:00:00"/>
        <d v="2037-06-24T00:00:00"/>
        <d v="2037-06-25T00:00:00"/>
        <d v="2037-06-26T00:00:00"/>
        <d v="2037-06-27T00:00:00"/>
        <d v="2037-06-28T00:00:00"/>
        <d v="2037-06-29T00:00:00"/>
        <d v="2037-06-30T00:00:00"/>
        <d v="2037-07-01T00:00:00"/>
        <d v="2037-07-02T00:00:00"/>
        <d v="2037-07-03T00:00:00"/>
        <d v="2037-07-04T00:00:00"/>
        <d v="2037-07-05T00:00:00"/>
        <d v="2037-07-06T00:00:00"/>
        <d v="2037-07-07T00:00:00"/>
        <d v="2037-07-08T00:00:00"/>
        <d v="2037-07-09T00:00:00"/>
        <d v="2037-07-10T00:00:00"/>
        <d v="2037-07-11T00:00:00"/>
        <d v="2037-07-12T00:00:00"/>
        <d v="2037-07-13T00:00:00"/>
        <d v="2037-07-14T00:00:00"/>
        <d v="2037-07-15T00:00:00"/>
        <d v="2037-07-16T00:00:00"/>
        <d v="2037-07-17T00:00:00"/>
        <d v="2037-07-18T00:00:00"/>
        <d v="2037-07-19T00:00:00"/>
        <d v="2037-07-20T00:00:00"/>
        <d v="2037-07-21T00:00:00"/>
        <d v="2037-07-22T00:00:00"/>
        <d v="2037-07-23T00:00:00"/>
        <d v="2037-07-24T00:00:00"/>
        <d v="2037-07-25T00:00:00"/>
        <d v="2037-07-26T00:00:00"/>
        <d v="2037-07-27T00:00:00"/>
        <d v="2037-07-28T00:00:00"/>
        <d v="2037-07-29T00:00:00"/>
        <d v="2037-07-30T00:00:00"/>
        <d v="2037-07-31T00:00:00"/>
        <d v="2037-08-01T00:00:00"/>
        <d v="2037-08-02T00:00:00"/>
        <d v="2037-08-03T00:00:00"/>
        <d v="2037-08-04T00:00:00"/>
        <d v="2037-08-05T00:00:00"/>
        <d v="2037-08-06T00:00:00"/>
        <d v="2037-08-07T00:00:00"/>
        <d v="2037-08-08T00:00:00"/>
        <d v="2037-08-09T00:00:00"/>
        <d v="2037-08-10T00:00:00"/>
        <d v="2037-08-11T00:00:00"/>
        <d v="2037-08-12T00:00:00"/>
        <d v="2037-08-13T00:00:00"/>
        <d v="2037-08-14T00:00:00"/>
        <d v="2037-08-15T00:00:00"/>
        <d v="2037-08-16T00:00:00"/>
        <d v="2037-08-17T00:00:00"/>
        <d v="2037-08-18T00:00:00"/>
        <d v="2037-08-19T00:00:00"/>
        <d v="2037-08-20T00:00:00"/>
        <d v="2037-08-21T00:00:00"/>
        <d v="2037-08-22T00:00:00"/>
        <d v="2037-08-23T00:00:00"/>
        <d v="2037-08-24T00:00:00"/>
        <d v="2037-08-25T00:00:00"/>
        <d v="2037-08-26T00:00:00"/>
        <d v="2037-08-27T00:00:00"/>
        <d v="2037-08-28T00:00:00"/>
        <d v="2037-08-29T00:00:00"/>
        <d v="2037-08-30T00:00:00"/>
        <d v="2037-08-31T00:00:00"/>
        <d v="2037-09-01T00:00:00"/>
        <d v="2037-09-02T00:00:00"/>
        <d v="2037-09-03T00:00:00"/>
        <d v="2037-09-04T00:00:00"/>
        <d v="2037-09-05T00:00:00"/>
        <d v="2037-09-06T00:00:00"/>
        <d v="2037-09-07T00:00:00"/>
        <d v="2037-09-08T00:00:00"/>
        <d v="2037-09-09T00:00:00"/>
        <d v="2037-09-10T00:00:00"/>
        <d v="2037-09-11T00:00:00"/>
        <d v="2037-09-12T00:00:00"/>
        <d v="2037-09-13T00:00:00"/>
        <d v="2037-09-14T00:00:00"/>
        <d v="2037-09-15T00:00:00"/>
        <d v="2037-09-16T00:00:00"/>
        <d v="2037-09-17T00:00:00"/>
        <d v="2037-09-18T00:00:00"/>
        <d v="2037-09-19T00:00:00"/>
        <d v="2037-09-20T00:00:00"/>
        <d v="2037-09-21T00:00:00"/>
        <d v="2037-09-22T00:00:00"/>
        <d v="2037-09-23T00:00:00"/>
        <d v="2037-09-24T00:00:00"/>
        <d v="2037-09-25T00:00:00"/>
        <d v="2037-09-26T00:00:00"/>
        <d v="2037-09-27T00:00:00"/>
        <d v="2037-09-28T00:00:00"/>
        <d v="2037-09-29T00:00:00"/>
        <d v="2037-09-30T00:00:00"/>
        <d v="2037-10-01T00:00:00"/>
        <d v="2037-10-02T00:00:00"/>
        <d v="2037-10-03T00:00:00"/>
        <d v="2037-10-04T00:00:00"/>
        <d v="2037-10-05T00:00:00"/>
        <d v="2037-10-06T00:00:00"/>
        <d v="2037-10-07T00:00:00"/>
        <d v="2037-10-08T00:00:00"/>
        <d v="2037-10-09T00:00:00"/>
        <d v="2037-10-10T00:00:00"/>
        <d v="2037-10-11T00:00:00"/>
        <d v="2037-10-12T00:00:00"/>
        <d v="2037-10-13T00:00:00"/>
        <d v="2037-10-14T00:00:00"/>
        <d v="2037-10-15T00:00:00"/>
        <d v="2037-10-16T00:00:00"/>
        <d v="2037-10-17T00:00:00"/>
        <d v="2037-10-18T00:00:00"/>
        <d v="2037-10-19T00:00:00"/>
        <d v="2037-10-20T00:00:00"/>
        <d v="2037-10-21T00:00:00"/>
        <d v="2037-10-22T00:00:00"/>
        <d v="2037-10-23T00:00:00"/>
        <d v="2037-10-24T00:00:00"/>
        <d v="2037-10-25T00:00:00"/>
        <d v="2037-10-26T00:00:00"/>
        <d v="2037-10-27T00:00:00"/>
        <d v="2037-10-28T00:00:00"/>
        <d v="2037-10-29T00:00:00"/>
        <d v="2037-10-30T00:00:00"/>
        <d v="2037-10-31T00:00:00"/>
        <d v="2037-11-01T00:00:00"/>
        <d v="2037-11-02T00:00:00"/>
        <d v="2037-11-03T00:00:00"/>
        <d v="2037-11-04T00:00:00"/>
        <d v="2037-11-05T00:00:00"/>
        <d v="2037-11-06T00:00:00"/>
        <d v="2037-11-07T00:00:00"/>
        <d v="2037-11-08T00:00:00"/>
        <d v="2037-11-09T00:00:00"/>
        <d v="2037-11-10T00:00:00"/>
        <d v="2037-11-11T00:00:00"/>
        <d v="2037-11-12T00:00:00"/>
        <d v="2037-11-13T00:00:00"/>
        <d v="2037-11-14T00:00:00"/>
        <d v="2037-11-15T00:00:00"/>
        <d v="2037-11-16T00:00:00"/>
        <d v="2037-11-17T00:00:00"/>
        <d v="2037-11-18T00:00:00"/>
        <d v="2037-11-19T00:00:00"/>
        <d v="2037-11-20T00:00:00"/>
        <d v="2037-11-21T00:00:00"/>
        <d v="2037-11-22T00:00:00"/>
        <d v="2037-11-23T00:00:00"/>
        <d v="2037-11-24T00:00:00"/>
        <d v="2037-11-25T00:00:00"/>
        <d v="2037-11-26T00:00:00"/>
        <d v="2037-11-27T00:00:00"/>
        <d v="2037-11-28T00:00:00"/>
        <d v="2037-11-29T00:00:00"/>
        <d v="2037-11-30T00:00:00"/>
        <d v="2037-12-01T00:00:00"/>
        <d v="2037-12-02T00:00:00"/>
        <d v="2037-12-03T00:00:00"/>
        <d v="2037-12-04T00:00:00"/>
        <d v="2037-12-05T00:00:00"/>
        <d v="2037-12-06T00:00:00"/>
        <d v="2037-12-07T00:00:00"/>
        <d v="2037-12-08T00:00:00"/>
        <d v="2037-12-09T00:00:00"/>
        <d v="2037-12-10T00:00:00"/>
        <d v="2037-12-11T00:00:00"/>
        <d v="2037-12-12T00:00:00"/>
        <d v="2037-12-13T00:00:00"/>
        <d v="2037-12-14T00:00:00"/>
        <d v="2037-12-15T00:00:00"/>
        <d v="2037-12-16T00:00:00"/>
        <d v="2037-12-17T00:00:00"/>
        <d v="2037-12-18T00:00:00"/>
        <d v="2037-12-19T00:00:00"/>
        <d v="2037-12-20T00:00:00"/>
        <d v="2037-12-21T00:00:00"/>
        <d v="2037-12-22T00:00:00"/>
        <d v="2037-12-23T00:00:00"/>
        <d v="2037-12-24T00:00:00"/>
        <d v="2037-12-25T00:00:00"/>
        <d v="2037-12-26T00:00:00"/>
        <d v="2037-12-27T00:00:00"/>
        <d v="2037-12-28T00:00:00"/>
        <d v="2037-12-29T00:00:00"/>
        <d v="2037-12-30T00:00:00"/>
        <d v="2037-12-31T00:00:00"/>
        <d v="2038-01-01T00:00:00"/>
        <d v="2038-01-02T00:00:00"/>
        <d v="2038-01-03T00:00:00"/>
        <d v="2038-01-04T00:00:00"/>
        <d v="2038-01-05T00:00:00"/>
        <d v="2038-01-06T00:00:00"/>
        <d v="2038-01-07T00:00:00"/>
        <d v="2038-01-08T00:00:00"/>
        <d v="2038-01-09T00:00:00"/>
        <d v="2038-01-10T00:00:00"/>
        <d v="2038-01-11T00:00:00"/>
        <d v="2038-01-12T00:00:00"/>
        <d v="2038-01-13T00:00:00"/>
        <d v="2038-01-14T00:00:00"/>
        <d v="2038-01-15T00:00:00"/>
        <d v="2038-01-16T00:00:00"/>
        <d v="2038-01-17T00:00:00"/>
        <d v="2038-01-18T00:00:00"/>
        <d v="2038-01-19T00:00:00"/>
        <d v="2038-01-20T00:00:00"/>
        <d v="2038-01-21T00:00:00"/>
        <d v="2038-01-22T00:00:00"/>
        <d v="2038-01-23T00:00:00"/>
        <d v="2038-01-24T00:00:00"/>
        <d v="2038-01-25T00:00:00"/>
        <d v="2038-01-26T00:00:00"/>
        <d v="2038-01-27T00:00:00"/>
        <d v="2038-01-28T00:00:00"/>
        <d v="2038-01-29T00:00:00"/>
        <d v="2038-01-30T00:00:00"/>
        <d v="2038-01-31T00:00:00"/>
        <d v="2038-02-01T00:00:00"/>
        <d v="2038-02-02T00:00:00"/>
        <d v="2038-02-03T00:00:00"/>
        <d v="2038-02-04T00:00:00"/>
        <d v="2038-02-05T00:00:00"/>
        <d v="2038-02-06T00:00:00"/>
        <d v="2038-02-07T00:00:00"/>
        <d v="2038-02-08T00:00:00"/>
        <d v="2038-02-09T00:00:00"/>
        <d v="2038-02-10T00:00:00"/>
        <d v="2038-02-11T00:00:00"/>
        <d v="2038-02-12T00:00:00"/>
        <d v="2038-02-13T00:00:00"/>
        <d v="2038-02-14T00:00:00"/>
        <d v="2038-02-15T00:00:00"/>
        <d v="2038-02-16T00:00:00"/>
        <d v="2038-02-17T00:00:00"/>
        <d v="2038-02-18T00:00:00"/>
        <d v="2038-02-19T00:00:00"/>
        <d v="2038-02-20T00:00:00"/>
        <d v="2038-02-21T00:00:00"/>
        <d v="2038-02-22T00:00:00"/>
        <d v="2038-02-23T00:00:00"/>
        <d v="2038-02-24T00:00:00"/>
        <d v="2038-02-25T00:00:00"/>
        <d v="2038-02-26T00:00:00"/>
        <d v="2038-02-27T00:00:00"/>
        <d v="2038-02-28T00:00:00"/>
        <d v="2038-03-01T00:00:00"/>
        <d v="2038-03-02T00:00:00"/>
        <d v="2038-03-03T00:00:00"/>
        <d v="2038-03-04T00:00:00"/>
        <d v="2038-03-05T00:00:00"/>
        <d v="2038-03-06T00:00:00"/>
        <d v="2038-03-07T00:00:00"/>
        <d v="2038-03-08T00:00:00"/>
        <d v="2038-03-09T00:00:00"/>
        <d v="2038-03-10T00:00:00"/>
        <d v="2038-03-11T00:00:00"/>
        <d v="2038-03-12T00:00:00"/>
        <d v="2038-03-13T00:00:00"/>
        <d v="2038-03-14T00:00:00"/>
        <d v="2038-03-15T00:00:00"/>
        <d v="2038-03-16T00:00:00"/>
        <d v="2038-03-17T00:00:00"/>
        <d v="2038-03-18T00:00:00"/>
        <d v="2038-03-19T00:00:00"/>
        <d v="2038-03-20T00:00:00"/>
        <d v="2038-03-21T00:00:00"/>
        <d v="2038-03-22T00:00:00"/>
        <d v="2038-03-23T00:00:00"/>
        <d v="2038-03-24T00:00:00"/>
        <d v="2038-03-25T00:00:00"/>
        <d v="2038-03-26T00:00:00"/>
        <d v="2038-03-27T00:00:00"/>
        <d v="2038-03-28T00:00:00"/>
        <d v="2038-03-29T00:00:00"/>
        <d v="2038-03-30T00:00:00"/>
        <d v="2038-03-31T00:00:00"/>
        <d v="2038-04-01T00:00:00"/>
        <d v="2038-04-02T00:00:00"/>
        <d v="2038-04-03T00:00:00"/>
        <d v="2038-04-04T00:00:00"/>
        <d v="2038-04-05T00:00:00"/>
        <d v="2038-04-06T00:00:00"/>
        <d v="2038-04-07T00:00:00"/>
        <d v="2038-04-08T00:00:00"/>
        <d v="2038-04-09T00:00:00"/>
        <d v="2038-04-10T00:00:00"/>
        <d v="2038-04-11T00:00:00"/>
        <d v="2038-04-12T00:00:00"/>
        <d v="2038-04-13T00:00:00"/>
        <d v="2038-04-14T00:00:00"/>
        <d v="2038-04-15T00:00:00"/>
        <d v="2038-04-16T00:00:00"/>
        <d v="2038-04-17T00:00:00"/>
        <d v="2038-04-18T00:00:00"/>
        <d v="2038-04-19T00:00:00"/>
        <d v="2038-04-20T00:00:00"/>
        <d v="2038-04-21T00:00:00"/>
        <d v="2038-04-22T00:00:00"/>
        <d v="2038-04-23T00:00:00"/>
        <d v="2038-04-24T00:00:00"/>
        <d v="2038-04-25T00:00:00"/>
        <d v="2038-04-26T00:00:00"/>
        <d v="2038-04-27T00:00:00"/>
        <d v="2038-04-28T00:00:00"/>
        <d v="2038-04-29T00:00:00"/>
        <d v="2038-04-30T00:00:00"/>
        <d v="2038-05-01T00:00:00"/>
        <d v="2038-05-02T00:00:00"/>
        <d v="2038-05-03T00:00:00"/>
        <d v="2038-05-04T00:00:00"/>
        <d v="2038-05-05T00:00:00"/>
        <d v="2038-05-06T00:00:00"/>
        <d v="2038-05-07T00:00:00"/>
        <d v="2038-05-08T00:00:00"/>
        <d v="2038-05-09T00:00:00"/>
        <d v="2038-05-10T00:00:00"/>
        <d v="2038-05-11T00:00:00"/>
        <d v="2038-05-12T00:00:00"/>
        <d v="2038-05-13T00:00:00"/>
        <d v="2038-05-14T00:00:00"/>
        <d v="2038-05-15T00:00:00"/>
        <d v="2038-05-16T00:00:00"/>
        <d v="2038-05-17T00:00:00"/>
        <d v="2038-05-18T00:00:00"/>
        <d v="2038-05-19T00:00:00"/>
        <d v="2038-05-20T00:00:00"/>
        <d v="2038-05-21T00:00:00"/>
        <d v="2038-05-22T00:00:00"/>
        <d v="2038-05-23T00:00:00"/>
        <d v="2038-05-24T00:00:00"/>
        <d v="2038-05-25T00:00:00"/>
        <d v="2038-05-26T00:00:00"/>
        <d v="2038-05-27T00:00:00"/>
        <d v="2038-05-28T00:00:00"/>
        <d v="2038-05-29T00:00:00"/>
        <d v="2038-05-30T00:00:00"/>
        <d v="2038-05-31T00:00:00"/>
        <d v="2038-06-01T00:00:00"/>
        <d v="2038-06-02T00:00:00"/>
        <d v="2038-06-03T00:00:00"/>
        <d v="2038-06-04T00:00:00"/>
        <d v="2038-06-05T00:00:00"/>
        <d v="2038-06-06T00:00:00"/>
        <d v="2038-06-07T00:00:00"/>
        <d v="2038-06-08T00:00:00"/>
        <d v="2038-06-09T00:00:00"/>
        <d v="2038-06-10T00:00:00"/>
        <d v="2038-06-11T00:00:00"/>
        <d v="2038-06-12T00:00:00"/>
        <d v="2038-06-13T00:00:00"/>
        <d v="2038-06-14T00:00:00"/>
        <d v="2038-06-15T00:00:00"/>
        <d v="2038-06-16T00:00:00"/>
        <d v="2038-06-17T00:00:00"/>
        <d v="2038-06-18T00:00:00"/>
        <d v="2038-06-19T00:00:00"/>
        <d v="2038-06-20T00:00:00"/>
        <d v="2038-06-21T00:00:00"/>
        <d v="2038-06-22T00:00:00"/>
        <d v="2038-06-23T00:00:00"/>
        <d v="2038-06-24T00:00:00"/>
        <d v="2038-06-25T00:00:00"/>
        <d v="2038-06-26T00:00:00"/>
        <d v="2038-06-27T00:00:00"/>
        <d v="2038-06-28T00:00:00"/>
        <d v="2038-06-29T00:00:00"/>
        <d v="2038-06-30T00:00:00"/>
        <d v="2038-07-01T00:00:00"/>
        <d v="2038-07-02T00:00:00"/>
        <d v="2038-07-03T00:00:00"/>
        <d v="2038-07-04T00:00:00"/>
        <d v="2038-07-05T00:00:00"/>
        <d v="2038-07-06T00:00:00"/>
        <d v="2038-07-07T00:00:00"/>
        <d v="2038-07-08T00:00:00"/>
        <d v="2038-07-09T00:00:00"/>
        <d v="2038-07-10T00:00:00"/>
        <d v="2038-07-11T00:00:00"/>
        <d v="2038-07-12T00:00:00"/>
        <d v="2038-07-13T00:00:00"/>
        <d v="2038-07-14T00:00:00"/>
        <d v="2038-07-15T00:00:00"/>
        <d v="2038-07-16T00:00:00"/>
        <d v="2038-07-17T00:00:00"/>
        <d v="2038-07-18T00:00:00"/>
        <d v="2038-07-19T00:00:00"/>
        <d v="2038-07-20T00:00:00"/>
        <d v="2038-07-21T00:00:00"/>
        <d v="2038-07-22T00:00:00"/>
        <d v="2038-07-23T00:00:00"/>
        <d v="2038-07-24T00:00:00"/>
        <d v="2038-07-25T00:00:00"/>
        <d v="2038-07-26T00:00:00"/>
        <d v="2038-07-27T00:00:00"/>
        <d v="2038-07-28T00:00:00"/>
        <d v="2038-07-29T00:00:00"/>
        <d v="2038-07-30T00:00:00"/>
        <d v="2038-07-31T00:00:00"/>
        <d v="2038-08-01T00:00:00"/>
        <d v="2038-08-02T00:00:00"/>
        <d v="2038-08-03T00:00:00"/>
        <d v="2038-08-04T00:00:00"/>
        <d v="2038-08-05T00:00:00"/>
        <d v="2038-08-06T00:00:00"/>
        <d v="2038-08-07T00:00:00"/>
        <d v="2038-08-08T00:00:00"/>
        <d v="2038-08-09T00:00:00"/>
        <d v="2038-08-10T00:00:00"/>
        <d v="2038-08-11T00:00:00"/>
        <d v="2038-08-12T00:00:00"/>
        <d v="2038-08-13T00:00:00"/>
        <d v="2038-08-14T00:00:00"/>
        <d v="2038-08-15T00:00:00"/>
        <d v="2038-08-16T00:00:00"/>
        <d v="2038-08-17T00:00:00"/>
        <d v="2038-08-18T00:00:00"/>
        <d v="2038-08-19T00:00:00"/>
        <d v="2038-08-20T00:00:00"/>
        <d v="2038-08-21T00:00:00"/>
        <d v="2038-08-22T00:00:00"/>
        <d v="2038-08-23T00:00:00"/>
        <d v="2038-08-24T00:00:00"/>
        <d v="2038-08-25T00:00:00"/>
        <d v="2038-08-26T00:00:00"/>
        <d v="2038-08-27T00:00:00"/>
        <d v="2038-08-28T00:00:00"/>
        <d v="2038-08-29T00:00:00"/>
        <d v="2038-08-30T00:00:00"/>
        <d v="2038-08-31T00:00:00"/>
        <d v="2038-09-01T00:00:00"/>
        <d v="2038-09-02T00:00:00"/>
        <d v="2038-09-03T00:00:00"/>
        <d v="2038-09-04T00:00:00"/>
        <d v="2038-09-05T00:00:00"/>
        <d v="2038-09-06T00:00:00"/>
        <d v="2038-09-07T00:00:00"/>
        <d v="2038-09-08T00:00:00"/>
        <d v="2038-09-09T00:00:00"/>
        <d v="2038-09-10T00:00:00"/>
        <d v="2038-09-11T00:00:00"/>
        <d v="2038-09-12T00:00:00"/>
        <d v="2038-09-13T00:00:00"/>
        <d v="2038-09-14T00:00:00"/>
        <d v="2038-09-15T00:00:00"/>
        <d v="2038-09-16T00:00:00"/>
        <d v="2038-09-17T00:00:00"/>
        <d v="2038-09-18T00:00:00"/>
        <d v="2038-09-19T00:00:00"/>
        <d v="2038-09-20T00:00:00"/>
        <d v="2038-09-21T00:00:00"/>
        <d v="2038-09-22T00:00:00"/>
        <d v="2038-09-23T00:00:00"/>
        <d v="2038-09-24T00:00:00"/>
        <d v="2038-09-25T00:00:00"/>
        <d v="2038-09-26T00:00:00"/>
        <d v="2038-09-27T00:00:00"/>
        <d v="2038-09-28T00:00:00"/>
        <d v="2038-09-29T00:00:00"/>
        <d v="2038-09-30T00:00:00"/>
        <d v="2038-10-01T00:00:00"/>
        <d v="2038-10-02T00:00:00"/>
        <d v="2038-10-03T00:00:00"/>
        <d v="2038-10-04T00:00:00"/>
        <d v="2038-10-05T00:00:00"/>
        <d v="2038-10-06T00:00:00"/>
        <d v="2038-10-07T00:00:00"/>
        <d v="2038-10-08T00:00:00"/>
        <d v="2038-10-09T00:00:00"/>
        <d v="2038-10-10T00:00:00"/>
        <d v="2038-10-11T00:00:00"/>
        <d v="2038-10-12T00:00:00"/>
        <d v="2038-10-13T00:00:00"/>
        <d v="2038-10-14T00:00:00"/>
        <d v="2038-10-15T00:00:00"/>
        <d v="2038-10-16T00:00:00"/>
        <d v="2038-10-17T00:00:00"/>
        <d v="2038-10-18T00:00:00"/>
        <d v="2038-10-19T00:00:00"/>
        <d v="2038-10-20T00:00:00"/>
        <d v="2038-10-21T00:00:00"/>
        <d v="2038-10-22T00:00:00"/>
        <d v="2038-10-23T00:00:00"/>
        <d v="2038-10-24T00:00:00"/>
        <d v="2038-10-25T00:00:00"/>
        <d v="2038-10-26T00:00:00"/>
        <d v="2038-10-27T00:00:00"/>
        <d v="2038-10-28T00:00:00"/>
        <d v="2038-10-29T00:00:00"/>
        <d v="2038-10-30T00:00:00"/>
        <d v="2038-10-31T00:00:00"/>
        <d v="2038-11-01T00:00:00"/>
        <d v="2038-11-02T00:00:00"/>
        <d v="2038-11-03T00:00:00"/>
      </sharedItems>
      <fieldGroup par="8" base="0">
        <rangePr groupBy="months" startDate="2033-03-03T00:00:00" endDate="2038-11-04T00:00:00"/>
        <groupItems count="14">
          <s v="&lt;3.03.203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4.11.2038"/>
        </groupItems>
      </fieldGroup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PRAWIDZWA_MASA" numFmtId="2">
      <sharedItems containsSemiMixedTypes="0" containsString="0" containsNumber="1" minValue="0" maxValue="13.640799999999999"/>
    </cacheField>
    <cacheField name="DZIEŃ OKRESU" numFmtId="0">
      <sharedItems containsSemiMixedTypes="0" containsString="0" containsNumber="1" containsInteger="1" minValue="1" maxValue="7"/>
    </cacheField>
    <cacheField name="Kolumna1" numFmtId="0">
      <sharedItems containsBlank="1" containsMixedTypes="1" containsNumber="1" minValue="95.6" maxValue="174.49999999999997"/>
    </cacheField>
    <cacheField name="Kwartały" numFmtId="0" databaseField="0">
      <fieldGroup base="0">
        <rangePr groupBy="quarters" startDate="2033-03-03T00:00:00" endDate="2038-11-04T00:00:00"/>
        <groupItems count="6">
          <s v="&lt;3.03.2033"/>
          <s v="Kwartał1"/>
          <s v="Kwartał2"/>
          <s v="Kwartał3"/>
          <s v="Kwartał4"/>
          <s v="&gt;4.11.2038"/>
        </groupItems>
      </fieldGroup>
    </cacheField>
    <cacheField name="Lata" numFmtId="0" databaseField="0">
      <fieldGroup base="0">
        <rangePr groupBy="years" startDate="2033-03-03T00:00:00" endDate="2038-11-04T00:00:00"/>
        <groupItems count="8">
          <s v="&lt;3.03.2033"/>
          <s v="2033"/>
          <s v="2034"/>
          <s v="2035"/>
          <s v="2036"/>
          <s v="2037"/>
          <s v="2038"/>
          <s v="&gt;4.11.203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d v="2033-03-03T00:00:00"/>
    <x v="0"/>
    <n v="27.8"/>
    <n v="0.2"/>
    <n v="5.5600000000000004E-2"/>
  </r>
  <r>
    <d v="2033-03-04T00:00:00"/>
    <x v="1"/>
    <n v="11.8"/>
    <n v="1.7"/>
    <n v="0.20060000000000003"/>
  </r>
  <r>
    <d v="2033-03-05T00:00:00"/>
    <x v="2"/>
    <n v="21"/>
    <n v="6"/>
    <n v="1.26"/>
  </r>
  <r>
    <d v="2033-03-06T00:00:00"/>
    <x v="3"/>
    <n v="26.3"/>
    <n v="11.4"/>
    <n v="2.9981999999999998"/>
  </r>
  <r>
    <d v="2033-03-07T00:00:00"/>
    <x v="4"/>
    <n v="28.8"/>
    <n v="0"/>
    <n v="0"/>
  </r>
  <r>
    <d v="2033-03-08T00:00:00"/>
    <x v="5"/>
    <n v="29.2"/>
    <n v="0"/>
    <n v="0"/>
  </r>
  <r>
    <d v="2033-03-09T00:00:00"/>
    <x v="6"/>
    <n v="25.6"/>
    <n v="28.7"/>
    <n v="7.3472"/>
  </r>
  <r>
    <d v="2033-03-10T00:00:00"/>
    <x v="7"/>
    <n v="10.1"/>
    <n v="7.7"/>
    <n v="0.77769999999999995"/>
  </r>
  <r>
    <d v="2033-03-11T00:00:00"/>
    <x v="8"/>
    <n v="14.6"/>
    <n v="0"/>
    <n v="0"/>
  </r>
  <r>
    <d v="2033-03-12T00:00:00"/>
    <x v="9"/>
    <n v="11.5"/>
    <n v="1.9"/>
    <n v="0.21849999999999997"/>
  </r>
  <r>
    <d v="2033-03-13T00:00:00"/>
    <x v="5"/>
    <n v="15.2"/>
    <n v="0"/>
    <n v="0"/>
  </r>
  <r>
    <d v="2033-03-14T00:00:00"/>
    <x v="6"/>
    <n v="10.199999999999999"/>
    <n v="13.3"/>
    <n v="1.3566"/>
  </r>
  <r>
    <d v="2033-03-15T00:00:00"/>
    <x v="10"/>
    <n v="20.399999999999999"/>
    <n v="4.5999999999999996"/>
    <n v="0.9383999999999999"/>
  </r>
  <r>
    <d v="2033-03-16T00:00:00"/>
    <x v="10"/>
    <n v="13.6"/>
    <n v="8"/>
    <n v="1.0880000000000001"/>
  </r>
  <r>
    <d v="2033-03-17T00:00:00"/>
    <x v="11"/>
    <n v="11"/>
    <n v="11.6"/>
    <n v="1.276"/>
  </r>
  <r>
    <d v="2033-03-18T00:00:00"/>
    <x v="12"/>
    <n v="14.1"/>
    <n v="0"/>
    <n v="0"/>
  </r>
  <r>
    <d v="2033-03-19T00:00:00"/>
    <x v="6"/>
    <n v="19.2"/>
    <n v="0"/>
    <n v="0"/>
  </r>
  <r>
    <d v="2033-03-20T00:00:00"/>
    <x v="6"/>
    <n v="20.7"/>
    <n v="0"/>
    <n v="0"/>
  </r>
  <r>
    <d v="2033-03-21T00:00:00"/>
    <x v="13"/>
    <n v="29.5"/>
    <n v="2.1"/>
    <n v="0.61950000000000005"/>
  </r>
  <r>
    <d v="2033-03-22T00:00:00"/>
    <x v="7"/>
    <n v="24.4"/>
    <n v="10.1"/>
    <n v="2.4643999999999995"/>
  </r>
  <r>
    <d v="2033-03-23T00:00:00"/>
    <x v="14"/>
    <n v="15.6"/>
    <n v="6.6"/>
    <n v="1.0295999999999998"/>
  </r>
  <r>
    <d v="2033-03-24T00:00:00"/>
    <x v="5"/>
    <n v="22.7"/>
    <n v="2.9"/>
    <n v="0.6583"/>
  </r>
  <r>
    <d v="2033-03-25T00:00:00"/>
    <x v="11"/>
    <n v="15.1"/>
    <n v="0"/>
    <n v="0"/>
  </r>
  <r>
    <d v="2033-03-26T00:00:00"/>
    <x v="15"/>
    <n v="14.1"/>
    <n v="0.8"/>
    <n v="0.11280000000000001"/>
  </r>
  <r>
    <d v="2033-03-27T00:00:00"/>
    <x v="3"/>
    <n v="24.9"/>
    <n v="2.2000000000000002"/>
    <n v="0.54780000000000006"/>
  </r>
  <r>
    <d v="2033-03-28T00:00:00"/>
    <x v="16"/>
    <n v="14.8"/>
    <n v="0"/>
    <n v="0"/>
  </r>
  <r>
    <d v="2033-03-29T00:00:00"/>
    <x v="10"/>
    <n v="18.8"/>
    <n v="0"/>
    <n v="0"/>
  </r>
  <r>
    <d v="2033-03-30T00:00:00"/>
    <x v="11"/>
    <n v="29.3"/>
    <n v="8"/>
    <n v="2.3439999999999999"/>
  </r>
  <r>
    <d v="2033-03-31T00:00:00"/>
    <x v="17"/>
    <n v="29.4"/>
    <n v="2.4"/>
    <n v="0.70559999999999989"/>
  </r>
  <r>
    <d v="2033-04-01T00:00:00"/>
    <x v="18"/>
    <n v="16.8"/>
    <n v="2.9"/>
    <n v="0.48719999999999997"/>
  </r>
  <r>
    <d v="2033-04-02T00:00:00"/>
    <x v="8"/>
    <n v="21.4"/>
    <n v="6.3"/>
    <n v="1.3481999999999998"/>
  </r>
  <r>
    <d v="2033-04-03T00:00:00"/>
    <x v="3"/>
    <n v="23.9"/>
    <n v="0"/>
    <n v="0"/>
  </r>
  <r>
    <d v="2033-04-04T00:00:00"/>
    <x v="8"/>
    <n v="26.7"/>
    <n v="0"/>
    <n v="0"/>
  </r>
  <r>
    <d v="2033-04-05T00:00:00"/>
    <x v="3"/>
    <n v="12.4"/>
    <n v="0"/>
    <n v="0"/>
  </r>
  <r>
    <d v="2033-04-06T00:00:00"/>
    <x v="8"/>
    <n v="10.4"/>
    <n v="10.7"/>
    <n v="1.1128"/>
  </r>
  <r>
    <d v="2033-04-07T00:00:00"/>
    <x v="5"/>
    <n v="17.899999999999999"/>
    <n v="0"/>
    <n v="0"/>
  </r>
  <r>
    <d v="2033-04-08T00:00:00"/>
    <x v="16"/>
    <n v="17.399999999999999"/>
    <n v="1.6"/>
    <n v="0.27839999999999998"/>
  </r>
  <r>
    <d v="2033-04-09T00:00:00"/>
    <x v="7"/>
    <n v="29.4"/>
    <n v="21.7"/>
    <n v="6.3797999999999995"/>
  </r>
  <r>
    <d v="2033-04-10T00:00:00"/>
    <x v="15"/>
    <n v="22.9"/>
    <n v="26.9"/>
    <n v="6.160099999999999"/>
  </r>
  <r>
    <d v="2033-04-11T00:00:00"/>
    <x v="15"/>
    <n v="18.899999999999999"/>
    <n v="11.3"/>
    <n v="2.1356999999999999"/>
  </r>
  <r>
    <d v="2033-04-12T00:00:00"/>
    <x v="1"/>
    <n v="23.5"/>
    <n v="0"/>
    <n v="0"/>
  </r>
  <r>
    <d v="2033-04-13T00:00:00"/>
    <x v="14"/>
    <n v="13.4"/>
    <n v="14.2"/>
    <n v="1.9028"/>
  </r>
  <r>
    <d v="2033-04-14T00:00:00"/>
    <x v="16"/>
    <n v="18.899999999999999"/>
    <n v="1.5"/>
    <n v="0.28349999999999997"/>
  </r>
  <r>
    <d v="2033-04-15T00:00:00"/>
    <x v="13"/>
    <n v="13.5"/>
    <n v="1.4"/>
    <n v="0.18899999999999997"/>
  </r>
  <r>
    <d v="2033-04-16T00:00:00"/>
    <x v="1"/>
    <n v="17.7"/>
    <n v="5.9"/>
    <n v="1.0443"/>
  </r>
  <r>
    <d v="2033-04-17T00:00:00"/>
    <x v="7"/>
    <n v="24.7"/>
    <n v="0"/>
    <n v="0"/>
  </r>
  <r>
    <d v="2033-04-18T00:00:00"/>
    <x v="14"/>
    <n v="25.6"/>
    <n v="1.9"/>
    <n v="0.4864"/>
  </r>
  <r>
    <d v="2033-04-19T00:00:00"/>
    <x v="18"/>
    <n v="18.399999999999999"/>
    <n v="0"/>
    <n v="0"/>
  </r>
  <r>
    <d v="2033-04-20T00:00:00"/>
    <x v="19"/>
    <n v="27"/>
    <n v="0"/>
    <n v="0"/>
  </r>
  <r>
    <d v="2033-04-21T00:00:00"/>
    <x v="6"/>
    <n v="16"/>
    <n v="0"/>
    <n v="0"/>
  </r>
  <r>
    <d v="2033-04-22T00:00:00"/>
    <x v="3"/>
    <n v="18.600000000000001"/>
    <n v="7.4"/>
    <n v="1.3764000000000001"/>
  </r>
  <r>
    <d v="2033-04-23T00:00:00"/>
    <x v="6"/>
    <n v="12.7"/>
    <n v="30.8"/>
    <n v="3.9115999999999995"/>
  </r>
  <r>
    <d v="2033-04-24T00:00:00"/>
    <x v="15"/>
    <n v="14.5"/>
    <n v="0"/>
    <n v="0"/>
  </r>
  <r>
    <d v="2033-04-25T00:00:00"/>
    <x v="20"/>
    <n v="12.2"/>
    <n v="3.5"/>
    <n v="0.42699999999999994"/>
  </r>
  <r>
    <d v="2033-04-26T00:00:00"/>
    <x v="21"/>
    <n v="19.899999999999999"/>
    <n v="0"/>
    <n v="0"/>
  </r>
  <r>
    <d v="2033-04-27T00:00:00"/>
    <x v="22"/>
    <n v="28.1"/>
    <n v="5.3"/>
    <n v="1.4893000000000001"/>
  </r>
  <r>
    <d v="2033-04-28T00:00:00"/>
    <x v="6"/>
    <n v="27.7"/>
    <n v="45.3"/>
    <n v="12.5481"/>
  </r>
  <r>
    <d v="2033-04-29T00:00:00"/>
    <x v="1"/>
    <n v="14.6"/>
    <n v="5.2"/>
    <n v="0.75919999999999999"/>
  </r>
  <r>
    <d v="2033-04-30T00:00:00"/>
    <x v="14"/>
    <n v="10.8"/>
    <n v="0"/>
    <n v="0"/>
  </r>
  <r>
    <d v="2033-05-01T00:00:00"/>
    <x v="23"/>
    <n v="12.4"/>
    <n v="3.2"/>
    <n v="0.39680000000000004"/>
  </r>
  <r>
    <d v="2033-05-02T00:00:00"/>
    <x v="6"/>
    <n v="25.2"/>
    <n v="0"/>
    <n v="0"/>
  </r>
  <r>
    <d v="2033-05-03T00:00:00"/>
    <x v="6"/>
    <n v="28.9"/>
    <n v="0"/>
    <n v="0"/>
  </r>
  <r>
    <d v="2033-05-04T00:00:00"/>
    <x v="15"/>
    <n v="13.2"/>
    <n v="23.3"/>
    <n v="3.0756000000000001"/>
  </r>
  <r>
    <d v="2033-05-05T00:00:00"/>
    <x v="6"/>
    <n v="27.9"/>
    <n v="0"/>
    <n v="0"/>
  </r>
  <r>
    <d v="2033-05-06T00:00:00"/>
    <x v="3"/>
    <n v="10.9"/>
    <n v="3.5"/>
    <n v="0.38150000000000001"/>
  </r>
  <r>
    <d v="2033-05-07T00:00:00"/>
    <x v="11"/>
    <n v="25.5"/>
    <n v="20"/>
    <n v="5.0999999999999996"/>
  </r>
  <r>
    <d v="2033-05-08T00:00:00"/>
    <x v="5"/>
    <n v="26"/>
    <n v="0"/>
    <n v="0"/>
  </r>
  <r>
    <d v="2033-05-09T00:00:00"/>
    <x v="21"/>
    <n v="25.8"/>
    <n v="0.1"/>
    <n v="2.58E-2"/>
  </r>
  <r>
    <d v="2033-05-10T00:00:00"/>
    <x v="10"/>
    <n v="17.5"/>
    <n v="0.5"/>
    <n v="8.7499999999999994E-2"/>
  </r>
  <r>
    <d v="2033-05-11T00:00:00"/>
    <x v="6"/>
    <n v="17.8"/>
    <n v="3.3"/>
    <n v="0.58740000000000003"/>
  </r>
  <r>
    <d v="2033-05-12T00:00:00"/>
    <x v="6"/>
    <n v="17.5"/>
    <n v="0"/>
    <n v="0"/>
  </r>
  <r>
    <d v="2033-05-13T00:00:00"/>
    <x v="9"/>
    <n v="16.100000000000001"/>
    <n v="0"/>
    <n v="0"/>
  </r>
  <r>
    <d v="2033-05-14T00:00:00"/>
    <x v="1"/>
    <n v="11.8"/>
    <n v="7"/>
    <n v="0.82600000000000007"/>
  </r>
  <r>
    <d v="2033-05-15T00:00:00"/>
    <x v="11"/>
    <n v="26.2"/>
    <n v="0"/>
    <n v="0"/>
  </r>
  <r>
    <d v="2033-05-16T00:00:00"/>
    <x v="2"/>
    <n v="28.8"/>
    <n v="2.9"/>
    <n v="0.83519999999999994"/>
  </r>
  <r>
    <d v="2033-05-17T00:00:00"/>
    <x v="6"/>
    <n v="18.7"/>
    <n v="0"/>
    <n v="0"/>
  </r>
  <r>
    <d v="2033-05-18T00:00:00"/>
    <x v="14"/>
    <n v="10.3"/>
    <n v="9.1999999999999993"/>
    <n v="0.9476"/>
  </r>
  <r>
    <d v="2033-05-19T00:00:00"/>
    <x v="2"/>
    <n v="29.8"/>
    <n v="3.4"/>
    <n v="1.0131999999999999"/>
  </r>
  <r>
    <d v="2033-05-20T00:00:00"/>
    <x v="6"/>
    <n v="26.2"/>
    <n v="32.299999999999997"/>
    <n v="8.4625999999999983"/>
  </r>
  <r>
    <d v="2033-05-21T00:00:00"/>
    <x v="15"/>
    <n v="13.8"/>
    <n v="15.9"/>
    <n v="2.1942000000000004"/>
  </r>
  <r>
    <d v="2033-05-22T00:00:00"/>
    <x v="15"/>
    <n v="22.4"/>
    <n v="24.5"/>
    <n v="5.4879999999999995"/>
  </r>
  <r>
    <d v="2033-05-23T00:00:00"/>
    <x v="15"/>
    <n v="24.5"/>
    <n v="0.9"/>
    <n v="0.2205"/>
  </r>
  <r>
    <d v="2033-05-24T00:00:00"/>
    <x v="24"/>
    <n v="23.1"/>
    <n v="0.3"/>
    <n v="6.93E-2"/>
  </r>
  <r>
    <d v="2033-05-25T00:00:00"/>
    <x v="21"/>
    <n v="29.8"/>
    <n v="0"/>
    <n v="0"/>
  </r>
  <r>
    <d v="2033-05-26T00:00:00"/>
    <x v="0"/>
    <n v="11.2"/>
    <n v="0"/>
    <n v="0"/>
  </r>
  <r>
    <d v="2033-05-27T00:00:00"/>
    <x v="15"/>
    <n v="18.7"/>
    <n v="0"/>
    <n v="0"/>
  </r>
  <r>
    <d v="2033-05-28T00:00:00"/>
    <x v="14"/>
    <n v="11.4"/>
    <n v="8.1"/>
    <n v="0.9234"/>
  </r>
  <r>
    <d v="2033-05-29T00:00:00"/>
    <x v="9"/>
    <n v="21.3"/>
    <n v="13.4"/>
    <n v="2.8542000000000001"/>
  </r>
  <r>
    <d v="2033-05-30T00:00:00"/>
    <x v="1"/>
    <n v="24.5"/>
    <n v="2.6"/>
    <n v="0.63700000000000001"/>
  </r>
  <r>
    <d v="2033-05-31T00:00:00"/>
    <x v="15"/>
    <n v="20"/>
    <n v="13.2"/>
    <n v="2.64"/>
  </r>
  <r>
    <d v="2033-06-01T00:00:00"/>
    <x v="6"/>
    <n v="28.4"/>
    <n v="12"/>
    <n v="3.4079999999999995"/>
  </r>
  <r>
    <d v="2033-06-02T00:00:00"/>
    <x v="7"/>
    <n v="14.8"/>
    <n v="10.1"/>
    <n v="1.4947999999999999"/>
  </r>
  <r>
    <d v="2033-06-03T00:00:00"/>
    <x v="25"/>
    <n v="27.9"/>
    <n v="0.6"/>
    <n v="0.16739999999999999"/>
  </r>
  <r>
    <d v="2033-06-04T00:00:00"/>
    <x v="8"/>
    <n v="19.899999999999999"/>
    <n v="9.8000000000000007"/>
    <n v="1.9502000000000002"/>
  </r>
  <r>
    <d v="2033-06-05T00:00:00"/>
    <x v="15"/>
    <n v="22.5"/>
    <n v="0"/>
    <n v="0"/>
  </r>
  <r>
    <d v="2033-06-06T00:00:00"/>
    <x v="4"/>
    <n v="21.6"/>
    <n v="4.9000000000000004"/>
    <n v="1.0584000000000002"/>
  </r>
  <r>
    <d v="2033-06-07T00:00:00"/>
    <x v="6"/>
    <n v="28.1"/>
    <n v="0"/>
    <n v="0"/>
  </r>
  <r>
    <d v="2033-06-08T00:00:00"/>
    <x v="8"/>
    <n v="21.5"/>
    <n v="8.6"/>
    <n v="1.849"/>
  </r>
  <r>
    <d v="2033-06-09T00:00:00"/>
    <x v="10"/>
    <n v="22.7"/>
    <n v="0.1"/>
    <n v="2.2700000000000001E-2"/>
  </r>
  <r>
    <d v="2033-06-10T00:00:00"/>
    <x v="6"/>
    <n v="27.4"/>
    <n v="21.8"/>
    <n v="5.9731999999999994"/>
  </r>
  <r>
    <d v="2033-06-11T00:00:00"/>
    <x v="15"/>
    <n v="18.3"/>
    <n v="17.3"/>
    <n v="3.1659000000000002"/>
  </r>
  <r>
    <d v="2033-06-12T00:00:00"/>
    <x v="15"/>
    <n v="29"/>
    <n v="27.3"/>
    <n v="7.9170000000000007"/>
  </r>
  <r>
    <d v="2033-06-13T00:00:00"/>
    <x v="14"/>
    <n v="18.100000000000001"/>
    <n v="0"/>
    <n v="0"/>
  </r>
  <r>
    <d v="2033-06-14T00:00:00"/>
    <x v="16"/>
    <n v="16.399999999999999"/>
    <n v="1.1000000000000001"/>
    <n v="0.1804"/>
  </r>
  <r>
    <d v="2033-06-15T00:00:00"/>
    <x v="2"/>
    <n v="21.8"/>
    <n v="0"/>
    <n v="0"/>
  </r>
  <r>
    <d v="2033-06-16T00:00:00"/>
    <x v="25"/>
    <n v="27.2"/>
    <n v="0"/>
    <n v="0"/>
  </r>
  <r>
    <d v="2033-06-17T00:00:00"/>
    <x v="18"/>
    <n v="21.2"/>
    <n v="0"/>
    <n v="0"/>
  </r>
  <r>
    <d v="2033-06-18T00:00:00"/>
    <x v="15"/>
    <n v="17.7"/>
    <n v="13.9"/>
    <n v="2.4603000000000002"/>
  </r>
  <r>
    <d v="2033-06-19T00:00:00"/>
    <x v="18"/>
    <n v="10.6"/>
    <n v="6.9"/>
    <n v="0.73140000000000005"/>
  </r>
  <r>
    <d v="2033-06-20T00:00:00"/>
    <x v="23"/>
    <n v="10.4"/>
    <n v="1.1000000000000001"/>
    <n v="0.11440000000000002"/>
  </r>
  <r>
    <d v="2033-06-21T00:00:00"/>
    <x v="6"/>
    <n v="15.8"/>
    <n v="7.1"/>
    <n v="1.1217999999999999"/>
  </r>
  <r>
    <d v="2033-06-22T00:00:00"/>
    <x v="5"/>
    <n v="19.899999999999999"/>
    <n v="10.8"/>
    <n v="2.1492"/>
  </r>
  <r>
    <d v="2033-06-23T00:00:00"/>
    <x v="7"/>
    <n v="13"/>
    <n v="0"/>
    <n v="0"/>
  </r>
  <r>
    <d v="2033-06-24T00:00:00"/>
    <x v="3"/>
    <n v="28.1"/>
    <n v="15"/>
    <n v="4.2149999999999999"/>
  </r>
  <r>
    <d v="2033-06-25T00:00:00"/>
    <x v="8"/>
    <n v="22.5"/>
    <n v="8.6"/>
    <n v="1.9350000000000001"/>
  </r>
  <r>
    <d v="2033-06-26T00:00:00"/>
    <x v="15"/>
    <n v="14"/>
    <n v="36.1"/>
    <n v="5.0540000000000003"/>
  </r>
  <r>
    <d v="2033-06-27T00:00:00"/>
    <x v="6"/>
    <n v="10.6"/>
    <n v="18.399999999999999"/>
    <n v="1.9503999999999999"/>
  </r>
  <r>
    <d v="2033-06-28T00:00:00"/>
    <x v="19"/>
    <n v="22.3"/>
    <n v="0"/>
    <n v="0"/>
  </r>
  <r>
    <d v="2033-06-29T00:00:00"/>
    <x v="15"/>
    <n v="14.5"/>
    <n v="26"/>
    <n v="3.77"/>
  </r>
  <r>
    <d v="2033-06-30T00:00:00"/>
    <x v="1"/>
    <n v="21"/>
    <n v="1.7"/>
    <n v="0.35699999999999998"/>
  </r>
  <r>
    <d v="2033-07-01T00:00:00"/>
    <x v="0"/>
    <n v="17.7"/>
    <n v="0.4"/>
    <n v="7.0800000000000002E-2"/>
  </r>
  <r>
    <d v="2033-07-02T00:00:00"/>
    <x v="3"/>
    <n v="24.3"/>
    <n v="9.6999999999999993"/>
    <n v="2.3571"/>
  </r>
  <r>
    <d v="2033-07-03T00:00:00"/>
    <x v="11"/>
    <n v="18.8"/>
    <n v="6.4"/>
    <n v="1.2032"/>
  </r>
  <r>
    <d v="2033-07-04T00:00:00"/>
    <x v="9"/>
    <n v="15.9"/>
    <n v="5.2"/>
    <n v="0.82680000000000009"/>
  </r>
  <r>
    <d v="2033-07-05T00:00:00"/>
    <x v="3"/>
    <n v="26.1"/>
    <n v="0"/>
    <n v="0"/>
  </r>
  <r>
    <d v="2033-07-06T00:00:00"/>
    <x v="15"/>
    <n v="29.4"/>
    <n v="8.8000000000000007"/>
    <n v="2.5872000000000002"/>
  </r>
  <r>
    <d v="2033-07-07T00:00:00"/>
    <x v="9"/>
    <n v="10.5"/>
    <n v="14.5"/>
    <n v="1.5225"/>
  </r>
  <r>
    <d v="2033-07-08T00:00:00"/>
    <x v="26"/>
    <n v="18.100000000000001"/>
    <n v="0"/>
    <n v="0"/>
  </r>
  <r>
    <d v="2033-07-09T00:00:00"/>
    <x v="11"/>
    <n v="20.6"/>
    <n v="0"/>
    <n v="0"/>
  </r>
  <r>
    <d v="2033-07-10T00:00:00"/>
    <x v="11"/>
    <n v="17.100000000000001"/>
    <n v="0"/>
    <n v="0"/>
  </r>
  <r>
    <d v="2033-07-11T00:00:00"/>
    <x v="18"/>
    <n v="17"/>
    <n v="0.3"/>
    <n v="5.0999999999999997E-2"/>
  </r>
  <r>
    <d v="2033-07-12T00:00:00"/>
    <x v="19"/>
    <n v="14.7"/>
    <n v="2.2999999999999998"/>
    <n v="0.33809999999999996"/>
  </r>
  <r>
    <d v="2033-07-13T00:00:00"/>
    <x v="11"/>
    <n v="21.7"/>
    <n v="0"/>
    <n v="0"/>
  </r>
  <r>
    <d v="2033-07-14T00:00:00"/>
    <x v="12"/>
    <n v="12.5"/>
    <n v="0"/>
    <n v="0"/>
  </r>
  <r>
    <d v="2033-07-15T00:00:00"/>
    <x v="4"/>
    <n v="17.8"/>
    <n v="4.0999999999999996"/>
    <n v="0.72979999999999989"/>
  </r>
  <r>
    <d v="2033-07-16T00:00:00"/>
    <x v="6"/>
    <n v="28.9"/>
    <n v="38.700000000000003"/>
    <n v="11.1843"/>
  </r>
  <r>
    <d v="2033-07-17T00:00:00"/>
    <x v="7"/>
    <n v="21"/>
    <n v="3.5"/>
    <n v="0.73499999999999999"/>
  </r>
  <r>
    <d v="2033-07-18T00:00:00"/>
    <x v="17"/>
    <n v="13"/>
    <n v="0.1"/>
    <n v="1.3000000000000001E-2"/>
  </r>
  <r>
    <d v="2033-07-19T00:00:00"/>
    <x v="6"/>
    <n v="23.1"/>
    <n v="0"/>
    <n v="0"/>
  </r>
  <r>
    <d v="2033-07-20T00:00:00"/>
    <x v="11"/>
    <n v="28.5"/>
    <n v="0"/>
    <n v="0"/>
  </r>
  <r>
    <d v="2033-07-21T00:00:00"/>
    <x v="11"/>
    <n v="12.8"/>
    <n v="0"/>
    <n v="0"/>
  </r>
  <r>
    <d v="2033-07-22T00:00:00"/>
    <x v="27"/>
    <n v="26.8"/>
    <n v="0"/>
    <n v="0"/>
  </r>
  <r>
    <d v="2033-07-23T00:00:00"/>
    <x v="6"/>
    <n v="15.1"/>
    <n v="24.8"/>
    <n v="3.7448000000000001"/>
  </r>
  <r>
    <d v="2033-07-24T00:00:00"/>
    <x v="14"/>
    <n v="14.4"/>
    <n v="13.5"/>
    <n v="1.944"/>
  </r>
  <r>
    <d v="2033-07-25T00:00:00"/>
    <x v="7"/>
    <n v="29.2"/>
    <n v="15.7"/>
    <n v="4.5843999999999996"/>
  </r>
  <r>
    <d v="2033-07-26T00:00:00"/>
    <x v="6"/>
    <n v="28.9"/>
    <n v="47.2"/>
    <n v="13.640799999999999"/>
  </r>
  <r>
    <d v="2033-07-27T00:00:00"/>
    <x v="16"/>
    <n v="18.399999999999999"/>
    <n v="3.9"/>
    <n v="0.7175999999999999"/>
  </r>
  <r>
    <d v="2033-07-28T00:00:00"/>
    <x v="13"/>
    <n v="26.2"/>
    <n v="4"/>
    <n v="1.048"/>
  </r>
  <r>
    <d v="2033-07-29T00:00:00"/>
    <x v="6"/>
    <n v="14.3"/>
    <n v="45.1"/>
    <n v="6.4493000000000009"/>
  </r>
  <r>
    <d v="2033-07-30T00:00:00"/>
    <x v="3"/>
    <n v="14.5"/>
    <n v="0"/>
    <n v="0"/>
  </r>
  <r>
    <d v="2033-07-31T00:00:00"/>
    <x v="6"/>
    <n v="18.600000000000001"/>
    <n v="5.5"/>
    <n v="1.0230000000000001"/>
  </r>
  <r>
    <d v="2033-08-01T00:00:00"/>
    <x v="3"/>
    <n v="26.3"/>
    <n v="14.5"/>
    <n v="3.8135000000000003"/>
  </r>
  <r>
    <d v="2033-08-02T00:00:00"/>
    <x v="28"/>
    <n v="25.9"/>
    <n v="0.7"/>
    <n v="0.18129999999999999"/>
  </r>
  <r>
    <d v="2033-08-03T00:00:00"/>
    <x v="8"/>
    <n v="29.8"/>
    <n v="0"/>
    <n v="0"/>
  </r>
  <r>
    <d v="2033-08-04T00:00:00"/>
    <x v="6"/>
    <n v="18.3"/>
    <n v="18.7"/>
    <n v="3.4220999999999999"/>
  </r>
  <r>
    <d v="2033-08-05T00:00:00"/>
    <x v="8"/>
    <n v="24.5"/>
    <n v="6.7"/>
    <n v="1.6415"/>
  </r>
  <r>
    <d v="2033-08-06T00:00:00"/>
    <x v="15"/>
    <n v="18.7"/>
    <n v="0"/>
    <n v="0"/>
  </r>
  <r>
    <d v="2033-08-07T00:00:00"/>
    <x v="15"/>
    <n v="29.2"/>
    <n v="34.9"/>
    <n v="10.190799999999999"/>
  </r>
  <r>
    <d v="2033-08-08T00:00:00"/>
    <x v="5"/>
    <n v="21.4"/>
    <n v="10.7"/>
    <n v="2.2897999999999996"/>
  </r>
  <r>
    <d v="2033-08-09T00:00:00"/>
    <x v="11"/>
    <n v="25.6"/>
    <n v="3.1"/>
    <n v="0.79360000000000008"/>
  </r>
  <r>
    <d v="2033-08-10T00:00:00"/>
    <x v="11"/>
    <n v="15.7"/>
    <n v="5.0999999999999996"/>
    <n v="0.80069999999999997"/>
  </r>
  <r>
    <d v="2033-08-11T00:00:00"/>
    <x v="2"/>
    <n v="27.3"/>
    <n v="11"/>
    <n v="3.0030000000000001"/>
  </r>
  <r>
    <d v="2033-08-12T00:00:00"/>
    <x v="21"/>
    <n v="28.4"/>
    <n v="2.7"/>
    <n v="0.76680000000000004"/>
  </r>
  <r>
    <d v="2033-08-13T00:00:00"/>
    <x v="7"/>
    <n v="22"/>
    <n v="3.3"/>
    <n v="0.72599999999999998"/>
  </r>
  <r>
    <d v="2033-08-14T00:00:00"/>
    <x v="4"/>
    <n v="19.399999999999999"/>
    <n v="0"/>
    <n v="0"/>
  </r>
  <r>
    <d v="2033-08-15T00:00:00"/>
    <x v="11"/>
    <n v="22.7"/>
    <n v="14.8"/>
    <n v="3.3595999999999999"/>
  </r>
  <r>
    <d v="2033-08-16T00:00:00"/>
    <x v="3"/>
    <n v="22.6"/>
    <n v="16.5"/>
    <n v="3.7290000000000005"/>
  </r>
  <r>
    <d v="2033-08-17T00:00:00"/>
    <x v="13"/>
    <n v="26.1"/>
    <n v="0"/>
    <n v="0"/>
  </r>
  <r>
    <d v="2033-08-18T00:00:00"/>
    <x v="11"/>
    <n v="27.6"/>
    <n v="6.7"/>
    <n v="1.8492000000000002"/>
  </r>
  <r>
    <d v="2033-08-19T00:00:00"/>
    <x v="8"/>
    <n v="13.2"/>
    <n v="0"/>
    <n v="0"/>
  </r>
  <r>
    <d v="2033-08-20T00:00:00"/>
    <x v="17"/>
    <n v="22"/>
    <n v="0"/>
    <n v="0"/>
  </r>
  <r>
    <d v="2033-08-21T00:00:00"/>
    <x v="5"/>
    <n v="10.8"/>
    <n v="7.6"/>
    <n v="0.82079999999999997"/>
  </r>
  <r>
    <d v="2033-08-22T00:00:00"/>
    <x v="6"/>
    <n v="15.6"/>
    <n v="38.4"/>
    <n v="5.9903999999999993"/>
  </r>
  <r>
    <d v="2033-08-23T00:00:00"/>
    <x v="22"/>
    <n v="11.7"/>
    <n v="0.5"/>
    <n v="5.8499999999999996E-2"/>
  </r>
  <r>
    <d v="2033-08-24T00:00:00"/>
    <x v="6"/>
    <n v="27.2"/>
    <n v="8.3000000000000007"/>
    <n v="2.2576000000000001"/>
  </r>
  <r>
    <d v="2033-08-25T00:00:00"/>
    <x v="6"/>
    <n v="24.7"/>
    <n v="28.9"/>
    <n v="7.1382999999999992"/>
  </r>
  <r>
    <d v="2033-08-26T00:00:00"/>
    <x v="7"/>
    <n v="18.2"/>
    <n v="12.5"/>
    <n v="2.2749999999999999"/>
  </r>
  <r>
    <d v="2033-08-27T00:00:00"/>
    <x v="7"/>
    <n v="14.6"/>
    <n v="17.899999999999999"/>
    <n v="2.6133999999999999"/>
  </r>
  <r>
    <d v="2033-08-28T00:00:00"/>
    <x v="7"/>
    <n v="16.5"/>
    <n v="13.9"/>
    <n v="2.2934999999999999"/>
  </r>
  <r>
    <d v="2033-08-29T00:00:00"/>
    <x v="14"/>
    <n v="29.4"/>
    <n v="0"/>
    <n v="0"/>
  </r>
  <r>
    <d v="2033-08-30T00:00:00"/>
    <x v="6"/>
    <n v="17.899999999999999"/>
    <n v="0"/>
    <n v="0"/>
  </r>
  <r>
    <d v="2033-08-31T00:00:00"/>
    <x v="13"/>
    <n v="29.8"/>
    <n v="0"/>
    <n v="0"/>
  </r>
  <r>
    <d v="2033-09-01T00:00:00"/>
    <x v="0"/>
    <n v="18.7"/>
    <n v="0"/>
    <n v="0"/>
  </r>
  <r>
    <d v="2033-09-02T00:00:00"/>
    <x v="8"/>
    <n v="24.3"/>
    <n v="7.8"/>
    <n v="1.8954"/>
  </r>
  <r>
    <d v="2033-09-03T00:00:00"/>
    <x v="9"/>
    <n v="29.3"/>
    <n v="4.5999999999999996"/>
    <n v="1.3478000000000001"/>
  </r>
  <r>
    <d v="2033-09-04T00:00:00"/>
    <x v="3"/>
    <n v="18.399999999999999"/>
    <n v="0"/>
    <n v="0"/>
  </r>
  <r>
    <d v="2033-09-05T00:00:00"/>
    <x v="3"/>
    <n v="10.3"/>
    <n v="16"/>
    <n v="1.6480000000000001"/>
  </r>
  <r>
    <d v="2033-09-06T00:00:00"/>
    <x v="6"/>
    <n v="27.5"/>
    <n v="0"/>
    <n v="0"/>
  </r>
  <r>
    <d v="2033-09-07T00:00:00"/>
    <x v="3"/>
    <n v="20.6"/>
    <n v="15.7"/>
    <n v="3.2342"/>
  </r>
  <r>
    <d v="2033-09-08T00:00:00"/>
    <x v="7"/>
    <n v="21.3"/>
    <n v="0"/>
    <n v="0"/>
  </r>
  <r>
    <d v="2033-09-09T00:00:00"/>
    <x v="15"/>
    <n v="26.2"/>
    <n v="0"/>
    <n v="0"/>
  </r>
  <r>
    <d v="2033-09-10T00:00:00"/>
    <x v="6"/>
    <n v="23.9"/>
    <n v="0"/>
    <n v="0"/>
  </r>
  <r>
    <d v="2033-09-11T00:00:00"/>
    <x v="23"/>
    <n v="26.6"/>
    <n v="1.6"/>
    <n v="0.42560000000000003"/>
  </r>
  <r>
    <d v="2033-09-12T00:00:00"/>
    <x v="6"/>
    <n v="18.600000000000001"/>
    <n v="20.399999999999999"/>
    <n v="3.7944"/>
  </r>
  <r>
    <d v="2033-09-13T00:00:00"/>
    <x v="14"/>
    <n v="22.3"/>
    <n v="1.7"/>
    <n v="0.37910000000000005"/>
  </r>
  <r>
    <d v="2033-09-14T00:00:00"/>
    <x v="13"/>
    <n v="18.399999999999999"/>
    <n v="3.9"/>
    <n v="0.7175999999999999"/>
  </r>
  <r>
    <d v="2033-09-15T00:00:00"/>
    <x v="23"/>
    <n v="28"/>
    <n v="4.4000000000000004"/>
    <n v="1.2320000000000002"/>
  </r>
  <r>
    <d v="2033-09-16T00:00:00"/>
    <x v="6"/>
    <n v="10.9"/>
    <n v="32.9"/>
    <n v="3.5861000000000001"/>
  </r>
  <r>
    <d v="2033-09-17T00:00:00"/>
    <x v="15"/>
    <n v="25.1"/>
    <n v="33.299999999999997"/>
    <n v="8.3582999999999998"/>
  </r>
  <r>
    <d v="2033-09-18T00:00:00"/>
    <x v="24"/>
    <n v="10.7"/>
    <n v="0.3"/>
    <n v="3.2099999999999997E-2"/>
  </r>
  <r>
    <d v="2033-09-19T00:00:00"/>
    <x v="6"/>
    <n v="26.1"/>
    <n v="31"/>
    <n v="8.0910000000000011"/>
  </r>
  <r>
    <d v="2033-09-20T00:00:00"/>
    <x v="7"/>
    <n v="15.2"/>
    <n v="12.7"/>
    <n v="1.9303999999999999"/>
  </r>
  <r>
    <d v="2033-09-21T00:00:00"/>
    <x v="10"/>
    <n v="28.8"/>
    <n v="4.3"/>
    <n v="1.2383999999999999"/>
  </r>
  <r>
    <d v="2033-09-22T00:00:00"/>
    <x v="22"/>
    <n v="10.3"/>
    <n v="0"/>
    <n v="0"/>
  </r>
  <r>
    <d v="2033-09-23T00:00:00"/>
    <x v="2"/>
    <n v="14.9"/>
    <n v="0.1"/>
    <n v="1.4900000000000002E-2"/>
  </r>
  <r>
    <d v="2033-09-24T00:00:00"/>
    <x v="6"/>
    <n v="11.3"/>
    <n v="0"/>
    <n v="0"/>
  </r>
  <r>
    <d v="2033-09-25T00:00:00"/>
    <x v="6"/>
    <n v="20.8"/>
    <n v="34.9"/>
    <n v="7.2591999999999999"/>
  </r>
  <r>
    <d v="2033-09-26T00:00:00"/>
    <x v="15"/>
    <n v="18.2"/>
    <n v="0"/>
    <n v="0"/>
  </r>
  <r>
    <d v="2033-09-27T00:00:00"/>
    <x v="13"/>
    <n v="12.7"/>
    <n v="5.3"/>
    <n v="0.67309999999999992"/>
  </r>
  <r>
    <d v="2033-09-28T00:00:00"/>
    <x v="10"/>
    <n v="21.4"/>
    <n v="8.3000000000000007"/>
    <n v="1.7762"/>
  </r>
  <r>
    <d v="2033-09-29T00:00:00"/>
    <x v="2"/>
    <n v="21.3"/>
    <n v="11.8"/>
    <n v="2.5134000000000003"/>
  </r>
  <r>
    <d v="2033-09-30T00:00:00"/>
    <x v="13"/>
    <n v="20.7"/>
    <n v="3.9"/>
    <n v="0.80729999999999991"/>
  </r>
  <r>
    <d v="2033-10-01T00:00:00"/>
    <x v="16"/>
    <n v="19.7"/>
    <n v="0"/>
    <n v="0"/>
  </r>
  <r>
    <d v="2033-10-02T00:00:00"/>
    <x v="7"/>
    <n v="27.2"/>
    <n v="17.600000000000001"/>
    <n v="4.7872000000000003"/>
  </r>
  <r>
    <d v="2033-10-03T00:00:00"/>
    <x v="21"/>
    <n v="16.600000000000001"/>
    <n v="1.7"/>
    <n v="0.28220000000000001"/>
  </r>
  <r>
    <d v="2033-10-04T00:00:00"/>
    <x v="7"/>
    <n v="22.3"/>
    <n v="0"/>
    <n v="0"/>
  </r>
  <r>
    <d v="2033-10-05T00:00:00"/>
    <x v="6"/>
    <n v="18"/>
    <n v="40.799999999999997"/>
    <n v="7.3439999999999994"/>
  </r>
  <r>
    <d v="2033-10-06T00:00:00"/>
    <x v="20"/>
    <n v="21.8"/>
    <n v="0"/>
    <n v="0"/>
  </r>
  <r>
    <d v="2033-10-07T00:00:00"/>
    <x v="2"/>
    <n v="22.2"/>
    <n v="11.2"/>
    <n v="2.4863999999999997"/>
  </r>
  <r>
    <d v="2033-10-08T00:00:00"/>
    <x v="2"/>
    <n v="20"/>
    <n v="0"/>
    <n v="0"/>
  </r>
  <r>
    <d v="2033-10-09T00:00:00"/>
    <x v="28"/>
    <n v="29.4"/>
    <n v="0.7"/>
    <n v="0.20579999999999998"/>
  </r>
  <r>
    <d v="2033-10-10T00:00:00"/>
    <x v="6"/>
    <n v="23.6"/>
    <n v="0"/>
    <n v="0"/>
  </r>
  <r>
    <d v="2033-10-11T00:00:00"/>
    <x v="3"/>
    <n v="16.3"/>
    <n v="22"/>
    <n v="3.5860000000000003"/>
  </r>
  <r>
    <d v="2033-10-12T00:00:00"/>
    <x v="11"/>
    <n v="15"/>
    <n v="0"/>
    <n v="0"/>
  </r>
  <r>
    <d v="2033-10-13T00:00:00"/>
    <x v="10"/>
    <n v="10.8"/>
    <n v="0"/>
    <n v="0"/>
  </r>
  <r>
    <d v="2033-10-14T00:00:00"/>
    <x v="15"/>
    <n v="10.5"/>
    <n v="0"/>
    <n v="0"/>
  </r>
  <r>
    <d v="2033-10-15T00:00:00"/>
    <x v="1"/>
    <n v="20.3"/>
    <n v="0"/>
    <n v="0"/>
  </r>
  <r>
    <d v="2033-10-16T00:00:00"/>
    <x v="6"/>
    <n v="13.1"/>
    <n v="50.4"/>
    <n v="6.6024000000000003"/>
  </r>
  <r>
    <d v="2033-10-17T00:00:00"/>
    <x v="8"/>
    <n v="24.8"/>
    <n v="7.9"/>
    <n v="1.9592000000000001"/>
  </r>
  <r>
    <d v="2033-10-18T00:00:00"/>
    <x v="7"/>
    <n v="23.6"/>
    <n v="0.8"/>
    <n v="0.18880000000000002"/>
  </r>
  <r>
    <d v="2033-10-19T00:00:00"/>
    <x v="13"/>
    <n v="17.899999999999999"/>
    <n v="0"/>
    <n v="0"/>
  </r>
  <r>
    <d v="2033-10-20T00:00:00"/>
    <x v="8"/>
    <n v="23.2"/>
    <n v="3"/>
    <n v="0.69599999999999995"/>
  </r>
  <r>
    <d v="2033-10-21T00:00:00"/>
    <x v="4"/>
    <n v="21.8"/>
    <n v="2"/>
    <n v="0.436"/>
  </r>
  <r>
    <d v="2033-10-22T00:00:00"/>
    <x v="22"/>
    <n v="22.2"/>
    <n v="3.1"/>
    <n v="0.68819999999999992"/>
  </r>
  <r>
    <d v="2033-10-23T00:00:00"/>
    <x v="11"/>
    <n v="29"/>
    <n v="16.399999999999999"/>
    <n v="4.7559999999999993"/>
  </r>
  <r>
    <d v="2033-10-24T00:00:00"/>
    <x v="20"/>
    <n v="24.6"/>
    <n v="1.7"/>
    <n v="0.41820000000000002"/>
  </r>
  <r>
    <d v="2033-10-25T00:00:00"/>
    <x v="8"/>
    <n v="23.4"/>
    <n v="0.6"/>
    <n v="0.1404"/>
  </r>
  <r>
    <d v="2033-10-26T00:00:00"/>
    <x v="11"/>
    <n v="21"/>
    <n v="0"/>
    <n v="0"/>
  </r>
  <r>
    <d v="2033-10-27T00:00:00"/>
    <x v="1"/>
    <n v="22"/>
    <n v="0"/>
    <n v="0"/>
  </r>
  <r>
    <d v="2033-10-28T00:00:00"/>
    <x v="5"/>
    <n v="29.9"/>
    <n v="8"/>
    <n v="2.3919999999999999"/>
  </r>
  <r>
    <d v="2033-10-29T00:00:00"/>
    <x v="3"/>
    <n v="27.2"/>
    <n v="19.2"/>
    <n v="5.2224000000000004"/>
  </r>
  <r>
    <d v="2033-10-30T00:00:00"/>
    <x v="15"/>
    <n v="10.9"/>
    <n v="9"/>
    <n v="0.98100000000000009"/>
  </r>
  <r>
    <d v="2033-10-31T00:00:00"/>
    <x v="5"/>
    <n v="22.6"/>
    <n v="5.9"/>
    <n v="1.3334000000000001"/>
  </r>
  <r>
    <d v="2033-11-01T00:00:00"/>
    <x v="19"/>
    <n v="12"/>
    <n v="3.9"/>
    <n v="0.46799999999999997"/>
  </r>
  <r>
    <d v="2033-11-02T00:00:00"/>
    <x v="11"/>
    <n v="19.5"/>
    <n v="14.2"/>
    <n v="2.7689999999999997"/>
  </r>
  <r>
    <d v="2033-11-03T00:00:00"/>
    <x v="6"/>
    <n v="27"/>
    <n v="10.9"/>
    <n v="2.9430000000000001"/>
  </r>
  <r>
    <d v="2033-11-04T00:00:00"/>
    <x v="18"/>
    <n v="10.7"/>
    <n v="5.6"/>
    <n v="0.59919999999999995"/>
  </r>
  <r>
    <d v="2033-11-05T00:00:00"/>
    <x v="15"/>
    <n v="29.1"/>
    <n v="0"/>
    <n v="0"/>
  </r>
  <r>
    <d v="2033-11-06T00:00:00"/>
    <x v="23"/>
    <n v="25.3"/>
    <n v="0"/>
    <n v="0"/>
  </r>
  <r>
    <d v="2033-11-07T00:00:00"/>
    <x v="2"/>
    <n v="13.3"/>
    <n v="4.4000000000000004"/>
    <n v="0.58520000000000005"/>
  </r>
  <r>
    <d v="2033-11-08T00:00:00"/>
    <x v="3"/>
    <n v="16.899999999999999"/>
    <n v="0"/>
    <n v="0"/>
  </r>
  <r>
    <d v="2033-11-09T00:00:00"/>
    <x v="11"/>
    <n v="26.4"/>
    <n v="6.8"/>
    <n v="1.7951999999999999"/>
  </r>
  <r>
    <d v="2033-11-10T00:00:00"/>
    <x v="10"/>
    <n v="29.7"/>
    <n v="0"/>
    <n v="0"/>
  </r>
  <r>
    <d v="2033-11-11T00:00:00"/>
    <x v="3"/>
    <n v="17.600000000000001"/>
    <n v="8.6999999999999993"/>
    <n v="1.5312000000000001"/>
  </r>
  <r>
    <d v="2033-11-12T00:00:00"/>
    <x v="13"/>
    <n v="13.2"/>
    <n v="3.3"/>
    <n v="0.43559999999999993"/>
  </r>
  <r>
    <d v="2033-11-13T00:00:00"/>
    <x v="11"/>
    <n v="21.2"/>
    <n v="0"/>
    <n v="0"/>
  </r>
  <r>
    <d v="2033-11-14T00:00:00"/>
    <x v="11"/>
    <n v="23"/>
    <n v="7.7"/>
    <n v="1.7709999999999999"/>
  </r>
  <r>
    <d v="2033-11-15T00:00:00"/>
    <x v="7"/>
    <n v="23"/>
    <n v="0"/>
    <n v="0"/>
  </r>
  <r>
    <d v="2033-11-16T00:00:00"/>
    <x v="7"/>
    <n v="23.4"/>
    <n v="0"/>
    <n v="0"/>
  </r>
  <r>
    <d v="2033-11-17T00:00:00"/>
    <x v="3"/>
    <n v="28.7"/>
    <n v="3.3"/>
    <n v="0.94709999999999994"/>
  </r>
  <r>
    <d v="2033-11-18T00:00:00"/>
    <x v="22"/>
    <n v="23.6"/>
    <n v="4.3"/>
    <n v="1.0148000000000001"/>
  </r>
  <r>
    <d v="2033-11-19T00:00:00"/>
    <x v="2"/>
    <n v="10.199999999999999"/>
    <n v="8.6999999999999993"/>
    <n v="0.88739999999999986"/>
  </r>
  <r>
    <d v="2033-11-20T00:00:00"/>
    <x v="5"/>
    <n v="13.8"/>
    <n v="0"/>
    <n v="0"/>
  </r>
  <r>
    <d v="2033-11-21T00:00:00"/>
    <x v="4"/>
    <n v="27.7"/>
    <n v="0"/>
    <n v="0"/>
  </r>
  <r>
    <d v="2033-11-22T00:00:00"/>
    <x v="3"/>
    <n v="13.3"/>
    <n v="7.2"/>
    <n v="0.95760000000000001"/>
  </r>
  <r>
    <d v="2033-11-23T00:00:00"/>
    <x v="7"/>
    <n v="26"/>
    <n v="0.7"/>
    <n v="0.182"/>
  </r>
  <r>
    <d v="2033-11-24T00:00:00"/>
    <x v="2"/>
    <n v="16.3"/>
    <n v="11"/>
    <n v="1.7930000000000001"/>
  </r>
  <r>
    <d v="2033-11-25T00:00:00"/>
    <x v="11"/>
    <n v="23.5"/>
    <n v="15.5"/>
    <n v="3.6425000000000001"/>
  </r>
  <r>
    <d v="2033-11-26T00:00:00"/>
    <x v="23"/>
    <n v="15.7"/>
    <n v="0"/>
    <n v="0"/>
  </r>
  <r>
    <d v="2033-11-27T00:00:00"/>
    <x v="22"/>
    <n v="26"/>
    <n v="6.4"/>
    <n v="1.6640000000000001"/>
  </r>
  <r>
    <d v="2033-11-28T00:00:00"/>
    <x v="15"/>
    <n v="22.7"/>
    <n v="0"/>
    <n v="0"/>
  </r>
  <r>
    <d v="2033-11-29T00:00:00"/>
    <x v="5"/>
    <n v="26.2"/>
    <n v="5.7"/>
    <n v="1.4934000000000001"/>
  </r>
  <r>
    <d v="2033-11-30T00:00:00"/>
    <x v="18"/>
    <n v="14.1"/>
    <n v="0"/>
    <n v="0"/>
  </r>
  <r>
    <d v="2033-12-01T00:00:00"/>
    <x v="7"/>
    <n v="23.6"/>
    <n v="19.7"/>
    <n v="4.6492000000000004"/>
  </r>
  <r>
    <d v="2033-12-02T00:00:00"/>
    <x v="15"/>
    <n v="25.2"/>
    <n v="37.200000000000003"/>
    <n v="9.3744000000000014"/>
  </r>
  <r>
    <d v="2033-12-03T00:00:00"/>
    <x v="9"/>
    <n v="23"/>
    <n v="0"/>
    <n v="0"/>
  </r>
  <r>
    <d v="2033-12-04T00:00:00"/>
    <x v="2"/>
    <n v="29.7"/>
    <n v="6.8"/>
    <n v="2.0195999999999996"/>
  </r>
  <r>
    <d v="2033-12-05T00:00:00"/>
    <x v="5"/>
    <n v="17.2"/>
    <n v="3.5"/>
    <n v="0.60199999999999998"/>
  </r>
  <r>
    <d v="2033-12-06T00:00:00"/>
    <x v="5"/>
    <n v="21.7"/>
    <n v="2.5"/>
    <n v="0.54249999999999998"/>
  </r>
  <r>
    <d v="2033-12-07T00:00:00"/>
    <x v="7"/>
    <n v="25.8"/>
    <n v="3.8"/>
    <n v="0.98039999999999994"/>
  </r>
  <r>
    <d v="2033-12-08T00:00:00"/>
    <x v="22"/>
    <n v="12.9"/>
    <n v="1.6"/>
    <n v="0.2064"/>
  </r>
  <r>
    <d v="2033-12-09T00:00:00"/>
    <x v="12"/>
    <n v="18.2"/>
    <n v="0"/>
    <n v="0"/>
  </r>
  <r>
    <d v="2033-12-10T00:00:00"/>
    <x v="6"/>
    <n v="20"/>
    <n v="25.7"/>
    <n v="5.14"/>
  </r>
  <r>
    <d v="2033-12-11T00:00:00"/>
    <x v="15"/>
    <n v="17.100000000000001"/>
    <n v="33"/>
    <n v="5.6430000000000007"/>
  </r>
  <r>
    <d v="2033-12-12T00:00:00"/>
    <x v="1"/>
    <n v="23.2"/>
    <n v="2.2999999999999998"/>
    <n v="0.53359999999999996"/>
  </r>
  <r>
    <d v="2033-12-13T00:00:00"/>
    <x v="11"/>
    <n v="23.1"/>
    <n v="2.2000000000000002"/>
    <n v="0.5082000000000001"/>
  </r>
  <r>
    <d v="2033-12-14T00:00:00"/>
    <x v="6"/>
    <n v="22.4"/>
    <n v="33.5"/>
    <n v="7.5039999999999996"/>
  </r>
  <r>
    <d v="2033-12-15T00:00:00"/>
    <x v="29"/>
    <n v="25.4"/>
    <n v="0.9"/>
    <n v="0.2286"/>
  </r>
  <r>
    <d v="2033-12-16T00:00:00"/>
    <x v="6"/>
    <n v="15.4"/>
    <n v="1.6"/>
    <n v="0.24640000000000001"/>
  </r>
  <r>
    <d v="2033-12-17T00:00:00"/>
    <x v="21"/>
    <n v="23.5"/>
    <n v="0.6"/>
    <n v="0.14099999999999999"/>
  </r>
  <r>
    <d v="2033-12-18T00:00:00"/>
    <x v="11"/>
    <n v="10.3"/>
    <n v="15.4"/>
    <n v="1.5862000000000001"/>
  </r>
  <r>
    <d v="2033-12-19T00:00:00"/>
    <x v="6"/>
    <n v="15.5"/>
    <n v="20.2"/>
    <n v="3.1309999999999998"/>
  </r>
  <r>
    <d v="2033-12-20T00:00:00"/>
    <x v="20"/>
    <n v="20.7"/>
    <n v="3"/>
    <n v="0.621"/>
  </r>
  <r>
    <d v="2033-12-21T00:00:00"/>
    <x v="9"/>
    <n v="12.7"/>
    <n v="14.4"/>
    <n v="1.8288"/>
  </r>
  <r>
    <d v="2033-12-22T00:00:00"/>
    <x v="19"/>
    <n v="22.8"/>
    <n v="3.3"/>
    <n v="0.75239999999999996"/>
  </r>
  <r>
    <d v="2033-12-23T00:00:00"/>
    <x v="26"/>
    <n v="20.5"/>
    <n v="0"/>
    <n v="0"/>
  </r>
  <r>
    <d v="2033-12-24T00:00:00"/>
    <x v="18"/>
    <n v="13.1"/>
    <n v="5.9"/>
    <n v="0.77290000000000003"/>
  </r>
  <r>
    <d v="2033-12-25T00:00:00"/>
    <x v="17"/>
    <n v="29"/>
    <n v="1"/>
    <n v="0.28999999999999998"/>
  </r>
  <r>
    <d v="2033-12-26T00:00:00"/>
    <x v="15"/>
    <n v="15.4"/>
    <n v="0"/>
    <n v="0"/>
  </r>
  <r>
    <d v="2033-12-27T00:00:00"/>
    <x v="6"/>
    <n v="20.3"/>
    <n v="10.7"/>
    <n v="2.1720999999999999"/>
  </r>
  <r>
    <d v="2033-12-28T00:00:00"/>
    <x v="6"/>
    <n v="15"/>
    <n v="0"/>
    <n v="0"/>
  </r>
  <r>
    <d v="2033-12-29T00:00:00"/>
    <x v="14"/>
    <n v="16.600000000000001"/>
    <n v="0"/>
    <n v="0"/>
  </r>
  <r>
    <d v="2033-12-30T00:00:00"/>
    <x v="7"/>
    <n v="28.6"/>
    <n v="0"/>
    <n v="0"/>
  </r>
  <r>
    <d v="2033-12-31T00:00:00"/>
    <x v="13"/>
    <n v="11.4"/>
    <n v="3.6"/>
    <n v="0.41039999999999999"/>
  </r>
  <r>
    <d v="2034-01-01T00:00:00"/>
    <x v="5"/>
    <n v="15.5"/>
    <n v="1"/>
    <n v="0.155"/>
  </r>
  <r>
    <d v="2034-01-02T00:00:00"/>
    <x v="2"/>
    <n v="18.3"/>
    <n v="0.7"/>
    <n v="0.12809999999999999"/>
  </r>
  <r>
    <d v="2034-01-03T00:00:00"/>
    <x v="15"/>
    <n v="14.9"/>
    <n v="6.1"/>
    <n v="0.90890000000000004"/>
  </r>
  <r>
    <d v="2034-01-04T00:00:00"/>
    <x v="7"/>
    <n v="29.7"/>
    <n v="13.3"/>
    <n v="3.9500999999999999"/>
  </r>
  <r>
    <d v="2034-01-05T00:00:00"/>
    <x v="3"/>
    <n v="28.9"/>
    <n v="13.8"/>
    <n v="3.9882"/>
  </r>
  <r>
    <d v="2034-01-06T00:00:00"/>
    <x v="13"/>
    <n v="24.3"/>
    <n v="0"/>
    <n v="0"/>
  </r>
  <r>
    <d v="2034-01-07T00:00:00"/>
    <x v="6"/>
    <n v="24"/>
    <n v="19.7"/>
    <n v="4.7279999999999998"/>
  </r>
  <r>
    <d v="2034-01-08T00:00:00"/>
    <x v="11"/>
    <n v="11.8"/>
    <n v="13.3"/>
    <n v="1.5694000000000004"/>
  </r>
  <r>
    <d v="2034-01-09T00:00:00"/>
    <x v="6"/>
    <n v="26.5"/>
    <n v="19.7"/>
    <n v="5.2204999999999995"/>
  </r>
  <r>
    <d v="2034-01-10T00:00:00"/>
    <x v="22"/>
    <n v="12.4"/>
    <n v="5.0999999999999996"/>
    <n v="0.63239999999999996"/>
  </r>
  <r>
    <d v="2034-01-11T00:00:00"/>
    <x v="6"/>
    <n v="21.9"/>
    <n v="6.6"/>
    <n v="1.4454"/>
  </r>
  <r>
    <d v="2034-01-12T00:00:00"/>
    <x v="6"/>
    <n v="20.3"/>
    <n v="0"/>
    <n v="0"/>
  </r>
  <r>
    <d v="2034-01-13T00:00:00"/>
    <x v="28"/>
    <n v="27.7"/>
    <n v="0.3"/>
    <n v="8.3099999999999993E-2"/>
  </r>
  <r>
    <d v="2034-01-14T00:00:00"/>
    <x v="15"/>
    <n v="28.5"/>
    <n v="30"/>
    <n v="8.5500000000000007"/>
  </r>
  <r>
    <d v="2034-01-15T00:00:00"/>
    <x v="17"/>
    <n v="28.7"/>
    <n v="1.9"/>
    <n v="0.5452999999999999"/>
  </r>
  <r>
    <d v="2034-01-16T00:00:00"/>
    <x v="0"/>
    <n v="10.9"/>
    <n v="0"/>
    <n v="0"/>
  </r>
  <r>
    <d v="2034-01-17T00:00:00"/>
    <x v="5"/>
    <n v="13.7"/>
    <n v="0"/>
    <n v="0"/>
  </r>
  <r>
    <d v="2034-01-18T00:00:00"/>
    <x v="7"/>
    <n v="28.2"/>
    <n v="0"/>
    <n v="0"/>
  </r>
  <r>
    <d v="2034-01-19T00:00:00"/>
    <x v="15"/>
    <n v="20.100000000000001"/>
    <n v="0"/>
    <n v="0"/>
  </r>
  <r>
    <d v="2034-01-20T00:00:00"/>
    <x v="7"/>
    <n v="20.6"/>
    <n v="0"/>
    <n v="0"/>
  </r>
  <r>
    <d v="2034-01-21T00:00:00"/>
    <x v="9"/>
    <n v="15.5"/>
    <n v="16.8"/>
    <n v="2.6040000000000005"/>
  </r>
  <r>
    <d v="2034-01-22T00:00:00"/>
    <x v="8"/>
    <n v="22.2"/>
    <n v="2.4"/>
    <n v="0.53279999999999994"/>
  </r>
  <r>
    <d v="2034-01-23T00:00:00"/>
    <x v="9"/>
    <n v="15"/>
    <n v="4.0999999999999996"/>
    <n v="0.61499999999999988"/>
  </r>
  <r>
    <d v="2034-01-24T00:00:00"/>
    <x v="15"/>
    <n v="18.399999999999999"/>
    <n v="30.4"/>
    <n v="5.5935999999999986"/>
  </r>
  <r>
    <d v="2034-01-25T00:00:00"/>
    <x v="28"/>
    <n v="29.3"/>
    <n v="0.4"/>
    <n v="0.11720000000000001"/>
  </r>
  <r>
    <d v="2034-01-26T00:00:00"/>
    <x v="19"/>
    <n v="23.9"/>
    <n v="3.3"/>
    <n v="0.78869999999999996"/>
  </r>
  <r>
    <d v="2034-01-27T00:00:00"/>
    <x v="16"/>
    <n v="29.8"/>
    <n v="3.3"/>
    <n v="0.98340000000000005"/>
  </r>
  <r>
    <d v="2034-01-28T00:00:00"/>
    <x v="6"/>
    <n v="29.1"/>
    <n v="23"/>
    <n v="6.6930000000000005"/>
  </r>
  <r>
    <d v="2034-01-29T00:00:00"/>
    <x v="7"/>
    <n v="22.5"/>
    <n v="17.2"/>
    <n v="3.87"/>
  </r>
  <r>
    <d v="2034-01-30T00:00:00"/>
    <x v="15"/>
    <n v="15.3"/>
    <n v="21.5"/>
    <n v="3.2894999999999999"/>
  </r>
  <r>
    <d v="2034-01-31T00:00:00"/>
    <x v="6"/>
    <n v="13.8"/>
    <n v="40.4"/>
    <n v="5.5751999999999997"/>
  </r>
  <r>
    <d v="2034-02-01T00:00:00"/>
    <x v="3"/>
    <n v="12.3"/>
    <n v="0"/>
    <n v="0"/>
  </r>
  <r>
    <d v="2034-02-02T00:00:00"/>
    <x v="1"/>
    <n v="18.5"/>
    <n v="4.2"/>
    <n v="0.77700000000000002"/>
  </r>
  <r>
    <d v="2034-02-03T00:00:00"/>
    <x v="16"/>
    <n v="10.3"/>
    <n v="3.2"/>
    <n v="0.3296"/>
  </r>
  <r>
    <d v="2034-02-04T00:00:00"/>
    <x v="15"/>
    <n v="24.9"/>
    <n v="12.1"/>
    <n v="3.0128999999999997"/>
  </r>
  <r>
    <d v="2034-02-05T00:00:00"/>
    <x v="6"/>
    <n v="26.4"/>
    <n v="0"/>
    <n v="0"/>
  </r>
  <r>
    <d v="2034-02-06T00:00:00"/>
    <x v="3"/>
    <n v="11.8"/>
    <n v="0"/>
    <n v="0"/>
  </r>
  <r>
    <d v="2034-02-07T00:00:00"/>
    <x v="2"/>
    <n v="11"/>
    <n v="7.5"/>
    <n v="0.82499999999999996"/>
  </r>
  <r>
    <d v="2034-02-08T00:00:00"/>
    <x v="6"/>
    <n v="15.4"/>
    <n v="5.2"/>
    <n v="0.80079999999999996"/>
  </r>
  <r>
    <d v="2034-02-09T00:00:00"/>
    <x v="23"/>
    <n v="25.7"/>
    <n v="5.8"/>
    <n v="1.4905999999999999"/>
  </r>
  <r>
    <d v="2034-02-10T00:00:00"/>
    <x v="9"/>
    <n v="14.8"/>
    <n v="0"/>
    <n v="0"/>
  </r>
  <r>
    <d v="2034-02-11T00:00:00"/>
    <x v="27"/>
    <n v="21.5"/>
    <n v="0.8"/>
    <n v="0.17199999999999999"/>
  </r>
  <r>
    <d v="2034-02-12T00:00:00"/>
    <x v="15"/>
    <n v="26.2"/>
    <n v="8.9"/>
    <n v="2.3317999999999999"/>
  </r>
  <r>
    <d v="2034-02-13T00:00:00"/>
    <x v="0"/>
    <n v="20.6"/>
    <n v="0.1"/>
    <n v="2.06E-2"/>
  </r>
  <r>
    <d v="2034-02-14T00:00:00"/>
    <x v="6"/>
    <n v="14.1"/>
    <n v="20.9"/>
    <n v="2.9468999999999999"/>
  </r>
  <r>
    <d v="2034-02-15T00:00:00"/>
    <x v="20"/>
    <n v="20.8"/>
    <n v="0.7"/>
    <n v="0.14559999999999998"/>
  </r>
  <r>
    <d v="2034-02-16T00:00:00"/>
    <x v="14"/>
    <n v="17.600000000000001"/>
    <n v="10.5"/>
    <n v="1.8480000000000001"/>
  </r>
  <r>
    <d v="2034-02-17T00:00:00"/>
    <x v="6"/>
    <n v="16.8"/>
    <n v="38.9"/>
    <n v="6.5351999999999997"/>
  </r>
  <r>
    <d v="2034-02-18T00:00:00"/>
    <x v="0"/>
    <n v="23.1"/>
    <n v="0"/>
    <n v="0"/>
  </r>
  <r>
    <d v="2034-02-19T00:00:00"/>
    <x v="23"/>
    <n v="16.3"/>
    <n v="3.4"/>
    <n v="0.55420000000000003"/>
  </r>
  <r>
    <d v="2034-02-20T00:00:00"/>
    <x v="3"/>
    <n v="15.7"/>
    <n v="10.9"/>
    <n v="1.7113"/>
  </r>
  <r>
    <d v="2034-02-21T00:00:00"/>
    <x v="14"/>
    <n v="29.3"/>
    <n v="2.1"/>
    <n v="0.61529999999999996"/>
  </r>
  <r>
    <d v="2034-02-22T00:00:00"/>
    <x v="18"/>
    <n v="24"/>
    <n v="7.3"/>
    <n v="1.7519999999999998"/>
  </r>
  <r>
    <d v="2034-02-23T00:00:00"/>
    <x v="2"/>
    <n v="27"/>
    <n v="0.6"/>
    <n v="0.16200000000000001"/>
  </r>
  <r>
    <d v="2034-02-24T00:00:00"/>
    <x v="6"/>
    <n v="26.3"/>
    <n v="1.2"/>
    <n v="0.31559999999999999"/>
  </r>
  <r>
    <d v="2034-02-25T00:00:00"/>
    <x v="11"/>
    <n v="26.3"/>
    <n v="8.1999999999999993"/>
    <n v="2.1566000000000001"/>
  </r>
  <r>
    <d v="2034-02-26T00:00:00"/>
    <x v="2"/>
    <n v="25.2"/>
    <n v="4.7"/>
    <n v="1.1843999999999999"/>
  </r>
  <r>
    <d v="2034-02-27T00:00:00"/>
    <x v="6"/>
    <n v="22.1"/>
    <n v="0"/>
    <n v="0"/>
  </r>
  <r>
    <d v="2034-02-28T00:00:00"/>
    <x v="6"/>
    <n v="11.9"/>
    <n v="41.6"/>
    <n v="4.9504000000000001"/>
  </r>
  <r>
    <d v="2034-03-01T00:00:00"/>
    <x v="9"/>
    <n v="19.600000000000001"/>
    <n v="0"/>
    <n v="0"/>
  </r>
  <r>
    <d v="2034-03-02T00:00:00"/>
    <x v="23"/>
    <n v="15.9"/>
    <n v="0"/>
    <n v="0"/>
  </r>
  <r>
    <d v="2034-03-03T00:00:00"/>
    <x v="8"/>
    <n v="24.3"/>
    <n v="1.7"/>
    <n v="0.41310000000000002"/>
  </r>
  <r>
    <d v="2034-03-04T00:00:00"/>
    <x v="10"/>
    <n v="20"/>
    <n v="0"/>
    <n v="0"/>
  </r>
  <r>
    <d v="2034-03-05T00:00:00"/>
    <x v="6"/>
    <n v="14.2"/>
    <n v="32.200000000000003"/>
    <n v="4.5724"/>
  </r>
  <r>
    <d v="2034-03-06T00:00:00"/>
    <x v="3"/>
    <n v="20.5"/>
    <n v="18.3"/>
    <n v="3.7515000000000005"/>
  </r>
  <r>
    <d v="2034-03-07T00:00:00"/>
    <x v="6"/>
    <n v="22.4"/>
    <n v="0"/>
    <n v="0"/>
  </r>
  <r>
    <d v="2034-03-08T00:00:00"/>
    <x v="18"/>
    <n v="19.100000000000001"/>
    <n v="0"/>
    <n v="0"/>
  </r>
  <r>
    <d v="2034-03-09T00:00:00"/>
    <x v="11"/>
    <n v="20.399999999999999"/>
    <n v="4.3"/>
    <n v="0.87719999999999987"/>
  </r>
  <r>
    <d v="2034-03-10T00:00:00"/>
    <x v="15"/>
    <n v="29.8"/>
    <n v="0"/>
    <n v="0"/>
  </r>
  <r>
    <d v="2034-03-11T00:00:00"/>
    <x v="29"/>
    <n v="13.7"/>
    <n v="0.7"/>
    <n v="9.5899999999999985E-2"/>
  </r>
  <r>
    <d v="2034-03-12T00:00:00"/>
    <x v="4"/>
    <n v="20.2"/>
    <n v="3.7"/>
    <n v="0.74739999999999995"/>
  </r>
  <r>
    <d v="2034-03-13T00:00:00"/>
    <x v="7"/>
    <n v="18.2"/>
    <n v="1.6"/>
    <n v="0.29120000000000001"/>
  </r>
  <r>
    <d v="2034-03-14T00:00:00"/>
    <x v="9"/>
    <n v="14.2"/>
    <n v="2"/>
    <n v="0.28399999999999997"/>
  </r>
  <r>
    <d v="2034-03-15T00:00:00"/>
    <x v="11"/>
    <n v="11.2"/>
    <n v="14.3"/>
    <n v="1.6015999999999999"/>
  </r>
  <r>
    <d v="2034-03-16T00:00:00"/>
    <x v="28"/>
    <n v="13.9"/>
    <n v="0.2"/>
    <n v="2.7800000000000002E-2"/>
  </r>
  <r>
    <d v="2034-03-17T00:00:00"/>
    <x v="7"/>
    <n v="22.6"/>
    <n v="15.1"/>
    <n v="3.4125999999999999"/>
  </r>
  <r>
    <d v="2034-03-18T00:00:00"/>
    <x v="11"/>
    <n v="29.8"/>
    <n v="0"/>
    <n v="0"/>
  </r>
  <r>
    <d v="2034-03-19T00:00:00"/>
    <x v="16"/>
    <n v="12.7"/>
    <n v="2.6"/>
    <n v="0.33019999999999994"/>
  </r>
  <r>
    <d v="2034-03-20T00:00:00"/>
    <x v="23"/>
    <n v="14.4"/>
    <n v="0"/>
    <n v="0"/>
  </r>
  <r>
    <d v="2034-03-21T00:00:00"/>
    <x v="29"/>
    <n v="18.399999999999999"/>
    <n v="0.2"/>
    <n v="3.6799999999999999E-2"/>
  </r>
  <r>
    <d v="2034-03-22T00:00:00"/>
    <x v="5"/>
    <n v="27.2"/>
    <n v="9.6"/>
    <n v="2.6112000000000002"/>
  </r>
  <r>
    <d v="2034-03-23T00:00:00"/>
    <x v="18"/>
    <n v="12.5"/>
    <n v="8.8000000000000007"/>
    <n v="1.1000000000000001"/>
  </r>
  <r>
    <d v="2034-03-24T00:00:00"/>
    <x v="22"/>
    <n v="22.6"/>
    <n v="3.5"/>
    <n v="0.79100000000000004"/>
  </r>
  <r>
    <d v="2034-03-25T00:00:00"/>
    <x v="3"/>
    <n v="21.8"/>
    <n v="6.5"/>
    <n v="1.4170000000000003"/>
  </r>
  <r>
    <d v="2034-03-26T00:00:00"/>
    <x v="19"/>
    <n v="17.2"/>
    <n v="0"/>
    <n v="0"/>
  </r>
  <r>
    <d v="2034-03-27T00:00:00"/>
    <x v="9"/>
    <n v="13.4"/>
    <n v="14.1"/>
    <n v="1.8894"/>
  </r>
  <r>
    <d v="2034-03-28T00:00:00"/>
    <x v="5"/>
    <n v="13.8"/>
    <n v="9.9"/>
    <n v="1.3662000000000001"/>
  </r>
  <r>
    <d v="2034-03-29T00:00:00"/>
    <x v="20"/>
    <n v="10.6"/>
    <n v="1.2"/>
    <n v="0.12719999999999998"/>
  </r>
  <r>
    <d v="2034-03-30T00:00:00"/>
    <x v="12"/>
    <n v="28.8"/>
    <n v="0.1"/>
    <n v="2.8800000000000003E-2"/>
  </r>
  <r>
    <d v="2034-03-31T00:00:00"/>
    <x v="24"/>
    <n v="16.899999999999999"/>
    <n v="0.7"/>
    <n v="0.11829999999999999"/>
  </r>
  <r>
    <d v="2034-04-01T00:00:00"/>
    <x v="14"/>
    <n v="11.2"/>
    <n v="4.8"/>
    <n v="0.53759999999999997"/>
  </r>
  <r>
    <d v="2034-04-02T00:00:00"/>
    <x v="6"/>
    <n v="13.9"/>
    <n v="23"/>
    <n v="3.1970000000000001"/>
  </r>
  <r>
    <d v="2034-04-03T00:00:00"/>
    <x v="7"/>
    <n v="25.3"/>
    <n v="21.9"/>
    <n v="5.5406999999999993"/>
  </r>
  <r>
    <d v="2034-04-04T00:00:00"/>
    <x v="6"/>
    <n v="14.7"/>
    <n v="0"/>
    <n v="0"/>
  </r>
  <r>
    <d v="2034-04-05T00:00:00"/>
    <x v="8"/>
    <n v="20.3"/>
    <n v="5.3"/>
    <n v="1.0759000000000001"/>
  </r>
  <r>
    <d v="2034-04-06T00:00:00"/>
    <x v="11"/>
    <n v="25"/>
    <n v="3.8"/>
    <n v="0.95"/>
  </r>
  <r>
    <d v="2034-04-07T00:00:00"/>
    <x v="14"/>
    <n v="19.600000000000001"/>
    <n v="0.6"/>
    <n v="0.1176"/>
  </r>
  <r>
    <d v="2034-04-08T00:00:00"/>
    <x v="8"/>
    <n v="10.8"/>
    <n v="0"/>
    <n v="0"/>
  </r>
  <r>
    <d v="2034-04-09T00:00:00"/>
    <x v="17"/>
    <n v="17.100000000000001"/>
    <n v="0.7"/>
    <n v="0.1197"/>
  </r>
  <r>
    <d v="2034-04-10T00:00:00"/>
    <x v="10"/>
    <n v="15.1"/>
    <n v="0"/>
    <n v="0"/>
  </r>
  <r>
    <d v="2034-04-11T00:00:00"/>
    <x v="14"/>
    <n v="26.4"/>
    <n v="1.9"/>
    <n v="0.50159999999999993"/>
  </r>
  <r>
    <d v="2034-04-12T00:00:00"/>
    <x v="6"/>
    <n v="11.6"/>
    <n v="14.4"/>
    <n v="1.6703999999999999"/>
  </r>
  <r>
    <d v="2034-04-13T00:00:00"/>
    <x v="6"/>
    <n v="16.600000000000001"/>
    <n v="40.6"/>
    <n v="6.7396000000000003"/>
  </r>
  <r>
    <d v="2034-04-14T00:00:00"/>
    <x v="15"/>
    <n v="19.5"/>
    <n v="24.9"/>
    <n v="4.8554999999999993"/>
  </r>
  <r>
    <d v="2034-04-15T00:00:00"/>
    <x v="13"/>
    <n v="24.9"/>
    <n v="6.5"/>
    <n v="1.6185"/>
  </r>
  <r>
    <d v="2034-04-16T00:00:00"/>
    <x v="19"/>
    <n v="19.3"/>
    <n v="0.8"/>
    <n v="0.15440000000000001"/>
  </r>
  <r>
    <d v="2034-04-17T00:00:00"/>
    <x v="13"/>
    <n v="26.2"/>
    <n v="2.8"/>
    <n v="0.73360000000000003"/>
  </r>
  <r>
    <d v="2034-04-18T00:00:00"/>
    <x v="3"/>
    <n v="28.1"/>
    <n v="0.6"/>
    <n v="0.1686"/>
  </r>
  <r>
    <d v="2034-04-19T00:00:00"/>
    <x v="10"/>
    <n v="17"/>
    <n v="4.8"/>
    <n v="0.81599999999999995"/>
  </r>
  <r>
    <d v="2034-04-20T00:00:00"/>
    <x v="13"/>
    <n v="28.5"/>
    <n v="7.1"/>
    <n v="2.0234999999999999"/>
  </r>
  <r>
    <d v="2034-04-21T00:00:00"/>
    <x v="1"/>
    <n v="14.2"/>
    <n v="2.1"/>
    <n v="0.29820000000000002"/>
  </r>
  <r>
    <d v="2034-04-22T00:00:00"/>
    <x v="3"/>
    <n v="24.9"/>
    <n v="8.3000000000000007"/>
    <n v="2.0667"/>
  </r>
  <r>
    <d v="2034-04-23T00:00:00"/>
    <x v="13"/>
    <n v="19.100000000000001"/>
    <n v="3.4"/>
    <n v="0.64939999999999998"/>
  </r>
  <r>
    <d v="2034-04-24T00:00:00"/>
    <x v="6"/>
    <n v="14.9"/>
    <n v="23.1"/>
    <n v="3.4419000000000004"/>
  </r>
  <r>
    <d v="2034-04-25T00:00:00"/>
    <x v="23"/>
    <n v="16.899999999999999"/>
    <n v="6.8"/>
    <n v="1.1491999999999998"/>
  </r>
  <r>
    <d v="2034-04-26T00:00:00"/>
    <x v="8"/>
    <n v="15.9"/>
    <n v="6.8"/>
    <n v="1.0811999999999999"/>
  </r>
  <r>
    <d v="2034-04-27T00:00:00"/>
    <x v="25"/>
    <n v="26.3"/>
    <n v="0.7"/>
    <n v="0.18410000000000001"/>
  </r>
  <r>
    <d v="2034-04-28T00:00:00"/>
    <x v="6"/>
    <n v="12.2"/>
    <n v="0"/>
    <n v="0"/>
  </r>
  <r>
    <d v="2034-04-29T00:00:00"/>
    <x v="3"/>
    <n v="27.5"/>
    <n v="0"/>
    <n v="0"/>
  </r>
  <r>
    <d v="2034-04-30T00:00:00"/>
    <x v="17"/>
    <n v="23"/>
    <n v="0"/>
    <n v="0"/>
  </r>
  <r>
    <d v="2034-05-01T00:00:00"/>
    <x v="15"/>
    <n v="17.899999999999999"/>
    <n v="36.799999999999997"/>
    <n v="6.5871999999999993"/>
  </r>
  <r>
    <d v="2034-05-02T00:00:00"/>
    <x v="15"/>
    <n v="27.3"/>
    <n v="0"/>
    <n v="0"/>
  </r>
  <r>
    <d v="2034-05-03T00:00:00"/>
    <x v="0"/>
    <n v="19.3"/>
    <n v="0.4"/>
    <n v="7.7200000000000005E-2"/>
  </r>
  <r>
    <d v="2034-05-04T00:00:00"/>
    <x v="10"/>
    <n v="25.5"/>
    <n v="0"/>
    <n v="0"/>
  </r>
  <r>
    <d v="2034-05-05T00:00:00"/>
    <x v="2"/>
    <n v="13.7"/>
    <n v="11.7"/>
    <n v="1.6029"/>
  </r>
  <r>
    <d v="2034-05-06T00:00:00"/>
    <x v="15"/>
    <n v="18.399999999999999"/>
    <n v="0"/>
    <n v="0"/>
  </r>
  <r>
    <d v="2034-05-07T00:00:00"/>
    <x v="14"/>
    <n v="11.1"/>
    <n v="0"/>
    <n v="0"/>
  </r>
  <r>
    <d v="2034-05-08T00:00:00"/>
    <x v="8"/>
    <n v="28"/>
    <n v="0"/>
    <n v="0"/>
  </r>
  <r>
    <d v="2034-05-09T00:00:00"/>
    <x v="2"/>
    <n v="16.2"/>
    <n v="13.7"/>
    <n v="2.2193999999999998"/>
  </r>
  <r>
    <d v="2034-05-10T00:00:00"/>
    <x v="15"/>
    <n v="12.1"/>
    <n v="37.200000000000003"/>
    <n v="4.5011999999999999"/>
  </r>
  <r>
    <d v="2034-05-11T00:00:00"/>
    <x v="16"/>
    <n v="21.4"/>
    <n v="3.1"/>
    <n v="0.66339999999999999"/>
  </r>
  <r>
    <d v="2034-05-12T00:00:00"/>
    <x v="6"/>
    <n v="11.2"/>
    <n v="0"/>
    <n v="0"/>
  </r>
  <r>
    <d v="2034-05-13T00:00:00"/>
    <x v="24"/>
    <n v="18.399999999999999"/>
    <n v="0.2"/>
    <n v="3.6799999999999999E-2"/>
  </r>
  <r>
    <d v="2034-05-14T00:00:00"/>
    <x v="8"/>
    <n v="13.7"/>
    <n v="0"/>
    <n v="0"/>
  </r>
  <r>
    <d v="2034-05-15T00:00:00"/>
    <x v="15"/>
    <n v="10.4"/>
    <n v="15.6"/>
    <n v="1.6224000000000001"/>
  </r>
  <r>
    <d v="2034-05-16T00:00:00"/>
    <x v="27"/>
    <n v="21.8"/>
    <n v="0"/>
    <n v="0"/>
  </r>
  <r>
    <d v="2034-05-17T00:00:00"/>
    <x v="3"/>
    <n v="11"/>
    <n v="0.4"/>
    <n v="4.4000000000000004E-2"/>
  </r>
  <r>
    <d v="2034-05-18T00:00:00"/>
    <x v="6"/>
    <n v="19"/>
    <n v="21.9"/>
    <n v="4.1609999999999996"/>
  </r>
  <r>
    <d v="2034-05-19T00:00:00"/>
    <x v="6"/>
    <n v="12.5"/>
    <n v="0"/>
    <n v="0"/>
  </r>
  <r>
    <d v="2034-05-20T00:00:00"/>
    <x v="11"/>
    <n v="13.6"/>
    <n v="12.6"/>
    <n v="1.7135999999999998"/>
  </r>
  <r>
    <d v="2034-05-21T00:00:00"/>
    <x v="6"/>
    <n v="20.2"/>
    <n v="17.899999999999999"/>
    <n v="3.6157999999999997"/>
  </r>
  <r>
    <d v="2034-05-22T00:00:00"/>
    <x v="6"/>
    <n v="28.7"/>
    <n v="0"/>
    <n v="0"/>
  </r>
  <r>
    <d v="2034-05-23T00:00:00"/>
    <x v="16"/>
    <n v="13.4"/>
    <n v="4.8"/>
    <n v="0.64319999999999988"/>
  </r>
  <r>
    <d v="2034-05-24T00:00:00"/>
    <x v="11"/>
    <n v="12"/>
    <n v="8.9"/>
    <n v="1.0680000000000001"/>
  </r>
  <r>
    <d v="2034-05-25T00:00:00"/>
    <x v="7"/>
    <n v="28.9"/>
    <n v="13.9"/>
    <n v="4.0171000000000001"/>
  </r>
  <r>
    <d v="2034-05-26T00:00:00"/>
    <x v="18"/>
    <n v="25.2"/>
    <n v="0"/>
    <n v="0"/>
  </r>
  <r>
    <d v="2034-05-27T00:00:00"/>
    <x v="7"/>
    <n v="18.600000000000001"/>
    <n v="1.8"/>
    <n v="0.33480000000000004"/>
  </r>
  <r>
    <d v="2034-05-28T00:00:00"/>
    <x v="22"/>
    <n v="20"/>
    <n v="2.4"/>
    <n v="0.48"/>
  </r>
  <r>
    <d v="2034-05-29T00:00:00"/>
    <x v="5"/>
    <n v="14.3"/>
    <n v="3.9"/>
    <n v="0.55770000000000008"/>
  </r>
  <r>
    <d v="2034-05-30T00:00:00"/>
    <x v="6"/>
    <n v="28.8"/>
    <n v="25.1"/>
    <n v="7.2288000000000014"/>
  </r>
  <r>
    <d v="2034-05-31T00:00:00"/>
    <x v="15"/>
    <n v="26.8"/>
    <n v="10.8"/>
    <n v="2.8944000000000005"/>
  </r>
  <r>
    <d v="2034-06-01T00:00:00"/>
    <x v="15"/>
    <n v="20.399999999999999"/>
    <n v="0"/>
    <n v="0"/>
  </r>
  <r>
    <d v="2034-06-02T00:00:00"/>
    <x v="18"/>
    <n v="14.1"/>
    <n v="4.5"/>
    <n v="0.63449999999999995"/>
  </r>
  <r>
    <d v="2034-06-03T00:00:00"/>
    <x v="10"/>
    <n v="28.1"/>
    <n v="6.3"/>
    <n v="1.7703"/>
  </r>
  <r>
    <d v="2034-06-04T00:00:00"/>
    <x v="9"/>
    <n v="15.7"/>
    <n v="11.5"/>
    <n v="1.8054999999999999"/>
  </r>
  <r>
    <d v="2034-06-05T00:00:00"/>
    <x v="25"/>
    <n v="27.7"/>
    <n v="0.6"/>
    <n v="0.16619999999999999"/>
  </r>
  <r>
    <d v="2034-06-06T00:00:00"/>
    <x v="3"/>
    <n v="22.9"/>
    <n v="22.6"/>
    <n v="5.1753999999999998"/>
  </r>
  <r>
    <d v="2034-06-07T00:00:00"/>
    <x v="9"/>
    <n v="10.3"/>
    <n v="0"/>
    <n v="0"/>
  </r>
  <r>
    <d v="2034-06-08T00:00:00"/>
    <x v="19"/>
    <n v="28.4"/>
    <n v="4"/>
    <n v="1.1359999999999999"/>
  </r>
  <r>
    <d v="2034-06-09T00:00:00"/>
    <x v="14"/>
    <n v="18.7"/>
    <n v="15"/>
    <n v="2.8050000000000002"/>
  </r>
  <r>
    <d v="2034-06-10T00:00:00"/>
    <x v="15"/>
    <n v="13.7"/>
    <n v="9.4"/>
    <n v="1.2878000000000001"/>
  </r>
  <r>
    <d v="2034-06-11T00:00:00"/>
    <x v="10"/>
    <n v="16.3"/>
    <n v="3.6"/>
    <n v="0.5868000000000001"/>
  </r>
  <r>
    <d v="2034-06-12T00:00:00"/>
    <x v="23"/>
    <n v="14"/>
    <n v="0"/>
    <n v="0"/>
  </r>
  <r>
    <d v="2034-06-13T00:00:00"/>
    <x v="11"/>
    <n v="26"/>
    <n v="5.5"/>
    <n v="1.43"/>
  </r>
  <r>
    <d v="2034-06-14T00:00:00"/>
    <x v="15"/>
    <n v="27"/>
    <n v="38.6"/>
    <n v="10.422000000000001"/>
  </r>
  <r>
    <d v="2034-06-15T00:00:00"/>
    <x v="6"/>
    <n v="26.6"/>
    <n v="49.7"/>
    <n v="13.220200000000002"/>
  </r>
  <r>
    <d v="2034-06-16T00:00:00"/>
    <x v="15"/>
    <n v="20.9"/>
    <n v="30"/>
    <n v="6.27"/>
  </r>
  <r>
    <d v="2034-06-17T00:00:00"/>
    <x v="18"/>
    <n v="28.5"/>
    <n v="5.3"/>
    <n v="1.5104999999999997"/>
  </r>
  <r>
    <d v="2034-06-18T00:00:00"/>
    <x v="1"/>
    <n v="10.4"/>
    <n v="0"/>
    <n v="0"/>
  </r>
  <r>
    <d v="2034-06-19T00:00:00"/>
    <x v="14"/>
    <n v="25.9"/>
    <n v="9.1999999999999993"/>
    <n v="2.3827999999999996"/>
  </r>
  <r>
    <d v="2034-06-20T00:00:00"/>
    <x v="7"/>
    <n v="24.6"/>
    <n v="11"/>
    <n v="2.7060000000000004"/>
  </r>
  <r>
    <d v="2034-06-21T00:00:00"/>
    <x v="12"/>
    <n v="22"/>
    <n v="0"/>
    <n v="0"/>
  </r>
  <r>
    <d v="2034-06-22T00:00:00"/>
    <x v="4"/>
    <n v="16.8"/>
    <n v="2.4"/>
    <n v="0.4032"/>
  </r>
  <r>
    <d v="2034-06-23T00:00:00"/>
    <x v="6"/>
    <n v="21.7"/>
    <n v="44.1"/>
    <n v="9.569700000000001"/>
  </r>
  <r>
    <d v="2034-06-24T00:00:00"/>
    <x v="8"/>
    <n v="28.9"/>
    <n v="0"/>
    <n v="0"/>
  </r>
  <r>
    <d v="2034-06-25T00:00:00"/>
    <x v="9"/>
    <n v="26.6"/>
    <n v="0.4"/>
    <n v="0.10640000000000001"/>
  </r>
  <r>
    <d v="2034-06-26T00:00:00"/>
    <x v="11"/>
    <n v="28"/>
    <n v="16.7"/>
    <n v="4.6759999999999993"/>
  </r>
  <r>
    <d v="2034-06-27T00:00:00"/>
    <x v="13"/>
    <n v="27.5"/>
    <n v="0"/>
    <n v="0"/>
  </r>
  <r>
    <d v="2034-06-28T00:00:00"/>
    <x v="18"/>
    <n v="18.2"/>
    <n v="0"/>
    <n v="0"/>
  </r>
  <r>
    <d v="2034-06-29T00:00:00"/>
    <x v="14"/>
    <n v="25.1"/>
    <n v="0"/>
    <n v="0"/>
  </r>
  <r>
    <d v="2034-06-30T00:00:00"/>
    <x v="0"/>
    <n v="10.1"/>
    <n v="0.2"/>
    <n v="2.0199999999999999E-2"/>
  </r>
  <r>
    <d v="2034-07-01T00:00:00"/>
    <x v="11"/>
    <n v="13.1"/>
    <n v="7.9"/>
    <n v="1.0348999999999999"/>
  </r>
  <r>
    <d v="2034-07-02T00:00:00"/>
    <x v="5"/>
    <n v="22.9"/>
    <n v="0"/>
    <n v="0"/>
  </r>
  <r>
    <d v="2034-07-03T00:00:00"/>
    <x v="5"/>
    <n v="26.3"/>
    <n v="4"/>
    <n v="1.052"/>
  </r>
  <r>
    <d v="2034-07-04T00:00:00"/>
    <x v="15"/>
    <n v="11.3"/>
    <n v="19.8"/>
    <n v="2.2374000000000001"/>
  </r>
  <r>
    <d v="2034-07-05T00:00:00"/>
    <x v="6"/>
    <n v="30"/>
    <n v="0"/>
    <n v="0"/>
  </r>
  <r>
    <d v="2034-07-06T00:00:00"/>
    <x v="18"/>
    <n v="20.399999999999999"/>
    <n v="0"/>
    <n v="0"/>
  </r>
  <r>
    <d v="2034-07-07T00:00:00"/>
    <x v="3"/>
    <n v="24.5"/>
    <n v="8.6999999999999993"/>
    <n v="2.1315"/>
  </r>
  <r>
    <d v="2034-07-08T00:00:00"/>
    <x v="7"/>
    <n v="17"/>
    <n v="2.7"/>
    <n v="0.45900000000000007"/>
  </r>
  <r>
    <d v="2034-07-09T00:00:00"/>
    <x v="15"/>
    <n v="21"/>
    <n v="5.6"/>
    <n v="1.1759999999999999"/>
  </r>
  <r>
    <d v="2034-07-10T00:00:00"/>
    <x v="15"/>
    <n v="20.7"/>
    <n v="0"/>
    <n v="0"/>
  </r>
  <r>
    <d v="2034-07-11T00:00:00"/>
    <x v="8"/>
    <n v="26.7"/>
    <n v="9.8000000000000007"/>
    <n v="2.6166"/>
  </r>
  <r>
    <d v="2034-07-12T00:00:00"/>
    <x v="26"/>
    <n v="10.199999999999999"/>
    <n v="0.1"/>
    <n v="1.0200000000000001E-2"/>
  </r>
  <r>
    <d v="2034-07-13T00:00:00"/>
    <x v="6"/>
    <n v="15.7"/>
    <n v="5.8"/>
    <n v="0.91059999999999985"/>
  </r>
  <r>
    <d v="2034-07-14T00:00:00"/>
    <x v="29"/>
    <n v="15.9"/>
    <n v="2.2000000000000002"/>
    <n v="0.34980000000000006"/>
  </r>
  <r>
    <d v="2034-07-15T00:00:00"/>
    <x v="15"/>
    <n v="21"/>
    <n v="13.1"/>
    <n v="2.7509999999999994"/>
  </r>
  <r>
    <d v="2034-07-16T00:00:00"/>
    <x v="5"/>
    <n v="10.9"/>
    <n v="8.1"/>
    <n v="0.88289999999999991"/>
  </r>
  <r>
    <d v="2034-07-17T00:00:00"/>
    <x v="18"/>
    <n v="20.9"/>
    <n v="5.9"/>
    <n v="1.2331000000000001"/>
  </r>
  <r>
    <d v="2034-07-18T00:00:00"/>
    <x v="15"/>
    <n v="21.8"/>
    <n v="15.9"/>
    <n v="3.4662000000000002"/>
  </r>
  <r>
    <d v="2034-07-19T00:00:00"/>
    <x v="11"/>
    <n v="11.9"/>
    <n v="18.100000000000001"/>
    <n v="2.1539000000000001"/>
  </r>
  <r>
    <d v="2034-07-20T00:00:00"/>
    <x v="9"/>
    <n v="12.9"/>
    <n v="0"/>
    <n v="0"/>
  </r>
  <r>
    <d v="2034-07-21T00:00:00"/>
    <x v="15"/>
    <n v="14.9"/>
    <n v="4.8"/>
    <n v="0.71519999999999995"/>
  </r>
  <r>
    <d v="2034-07-22T00:00:00"/>
    <x v="6"/>
    <n v="29.5"/>
    <n v="0"/>
    <n v="0"/>
  </r>
  <r>
    <d v="2034-07-23T00:00:00"/>
    <x v="15"/>
    <n v="18.100000000000001"/>
    <n v="0"/>
    <n v="0"/>
  </r>
  <r>
    <d v="2034-07-24T00:00:00"/>
    <x v="2"/>
    <n v="10.8"/>
    <n v="11.8"/>
    <n v="1.2744000000000002"/>
  </r>
  <r>
    <d v="2034-07-25T00:00:00"/>
    <x v="5"/>
    <n v="13.5"/>
    <n v="5.4"/>
    <n v="0.72900000000000009"/>
  </r>
  <r>
    <d v="2034-07-26T00:00:00"/>
    <x v="18"/>
    <n v="15.9"/>
    <n v="0"/>
    <n v="0"/>
  </r>
  <r>
    <d v="2034-07-27T00:00:00"/>
    <x v="22"/>
    <n v="23.1"/>
    <n v="0"/>
    <n v="0"/>
  </r>
  <r>
    <d v="2034-07-28T00:00:00"/>
    <x v="12"/>
    <n v="26.7"/>
    <n v="0"/>
    <n v="0"/>
  </r>
  <r>
    <d v="2034-07-29T00:00:00"/>
    <x v="6"/>
    <n v="26"/>
    <n v="29.1"/>
    <n v="7.5659999999999998"/>
  </r>
  <r>
    <d v="2034-07-30T00:00:00"/>
    <x v="14"/>
    <n v="23.6"/>
    <n v="9.1"/>
    <n v="2.1475999999999997"/>
  </r>
  <r>
    <d v="2034-07-31T00:00:00"/>
    <x v="22"/>
    <n v="29.8"/>
    <n v="5.7"/>
    <n v="1.6986000000000001"/>
  </r>
  <r>
    <d v="2034-08-01T00:00:00"/>
    <x v="15"/>
    <n v="18.600000000000001"/>
    <n v="0"/>
    <n v="0"/>
  </r>
  <r>
    <d v="2034-08-02T00:00:00"/>
    <x v="11"/>
    <n v="17.600000000000001"/>
    <n v="2.4"/>
    <n v="0.4224"/>
  </r>
  <r>
    <d v="2034-08-03T00:00:00"/>
    <x v="11"/>
    <n v="12.6"/>
    <n v="9.1999999999999993"/>
    <n v="1.1591999999999998"/>
  </r>
  <r>
    <d v="2034-08-04T00:00:00"/>
    <x v="13"/>
    <n v="25.4"/>
    <n v="5.4"/>
    <n v="1.3715999999999999"/>
  </r>
  <r>
    <d v="2034-08-05T00:00:00"/>
    <x v="16"/>
    <n v="12.8"/>
    <n v="3.6"/>
    <n v="0.46080000000000004"/>
  </r>
  <r>
    <d v="2034-08-06T00:00:00"/>
    <x v="7"/>
    <n v="18.7"/>
    <n v="0"/>
    <n v="0"/>
  </r>
  <r>
    <d v="2034-08-07T00:00:00"/>
    <x v="29"/>
    <n v="22.3"/>
    <n v="0"/>
    <n v="0"/>
  </r>
  <r>
    <d v="2034-08-08T00:00:00"/>
    <x v="14"/>
    <n v="26.4"/>
    <n v="0.5"/>
    <n v="0.13200000000000001"/>
  </r>
  <r>
    <d v="2034-08-09T00:00:00"/>
    <x v="3"/>
    <n v="28.5"/>
    <n v="3.2"/>
    <n v="0.91200000000000003"/>
  </r>
  <r>
    <d v="2034-08-10T00:00:00"/>
    <x v="13"/>
    <n v="16.8"/>
    <n v="5.5"/>
    <n v="0.92400000000000004"/>
  </r>
  <r>
    <d v="2034-08-11T00:00:00"/>
    <x v="23"/>
    <n v="24.7"/>
    <n v="0.8"/>
    <n v="0.19760000000000003"/>
  </r>
  <r>
    <d v="2034-08-12T00:00:00"/>
    <x v="5"/>
    <n v="29.6"/>
    <n v="0"/>
    <n v="0"/>
  </r>
  <r>
    <d v="2034-08-13T00:00:00"/>
    <x v="6"/>
    <n v="23.3"/>
    <n v="29.4"/>
    <n v="6.8502000000000001"/>
  </r>
  <r>
    <d v="2034-08-14T00:00:00"/>
    <x v="5"/>
    <n v="28.8"/>
    <n v="11.5"/>
    <n v="3.3119999999999998"/>
  </r>
  <r>
    <d v="2034-08-15T00:00:00"/>
    <x v="5"/>
    <n v="26.5"/>
    <n v="0"/>
    <n v="0"/>
  </r>
  <r>
    <d v="2034-08-16T00:00:00"/>
    <x v="19"/>
    <n v="17.100000000000001"/>
    <n v="3.6"/>
    <n v="0.61560000000000015"/>
  </r>
  <r>
    <d v="2034-08-17T00:00:00"/>
    <x v="5"/>
    <n v="17.8"/>
    <n v="7"/>
    <n v="1.246"/>
  </r>
  <r>
    <d v="2034-08-18T00:00:00"/>
    <x v="23"/>
    <n v="24.7"/>
    <n v="1.5"/>
    <n v="0.3705"/>
  </r>
  <r>
    <d v="2034-08-19T00:00:00"/>
    <x v="15"/>
    <n v="25.1"/>
    <n v="0"/>
    <n v="0"/>
  </r>
  <r>
    <d v="2034-08-20T00:00:00"/>
    <x v="28"/>
    <n v="27"/>
    <n v="0"/>
    <n v="0"/>
  </r>
  <r>
    <d v="2034-08-21T00:00:00"/>
    <x v="14"/>
    <n v="18.2"/>
    <n v="13.9"/>
    <n v="2.5297999999999998"/>
  </r>
  <r>
    <d v="2034-08-22T00:00:00"/>
    <x v="11"/>
    <n v="10.8"/>
    <n v="7.9"/>
    <n v="0.85320000000000007"/>
  </r>
  <r>
    <d v="2034-08-23T00:00:00"/>
    <x v="3"/>
    <n v="27.9"/>
    <n v="9.9"/>
    <n v="2.7620999999999998"/>
  </r>
  <r>
    <d v="2034-08-24T00:00:00"/>
    <x v="20"/>
    <n v="14.1"/>
    <n v="0.7"/>
    <n v="9.8699999999999996E-2"/>
  </r>
  <r>
    <d v="2034-08-25T00:00:00"/>
    <x v="14"/>
    <n v="17.5"/>
    <n v="3.2"/>
    <n v="0.56000000000000005"/>
  </r>
  <r>
    <d v="2034-08-26T00:00:00"/>
    <x v="6"/>
    <n v="14.3"/>
    <n v="0"/>
    <n v="0"/>
  </r>
  <r>
    <d v="2034-08-27T00:00:00"/>
    <x v="16"/>
    <n v="15.4"/>
    <n v="0"/>
    <n v="0"/>
  </r>
  <r>
    <d v="2034-08-28T00:00:00"/>
    <x v="15"/>
    <n v="17.5"/>
    <n v="0"/>
    <n v="0"/>
  </r>
  <r>
    <d v="2034-08-29T00:00:00"/>
    <x v="9"/>
    <n v="11.6"/>
    <n v="4.0999999999999996"/>
    <n v="0.47559999999999997"/>
  </r>
  <r>
    <d v="2034-08-30T00:00:00"/>
    <x v="5"/>
    <n v="27.9"/>
    <n v="10.3"/>
    <n v="2.8736999999999999"/>
  </r>
  <r>
    <d v="2034-08-31T00:00:00"/>
    <x v="15"/>
    <n v="11.8"/>
    <n v="20.2"/>
    <n v="2.3835999999999999"/>
  </r>
  <r>
    <d v="2034-09-01T00:00:00"/>
    <x v="3"/>
    <n v="12"/>
    <n v="8.5"/>
    <n v="1.02"/>
  </r>
  <r>
    <d v="2034-09-02T00:00:00"/>
    <x v="6"/>
    <n v="11.8"/>
    <n v="7.8"/>
    <n v="0.92040000000000011"/>
  </r>
  <r>
    <d v="2034-09-03T00:00:00"/>
    <x v="13"/>
    <n v="22.2"/>
    <n v="0"/>
    <n v="0"/>
  </r>
  <r>
    <d v="2034-09-04T00:00:00"/>
    <x v="3"/>
    <n v="13.3"/>
    <n v="3.8"/>
    <n v="0.50539999999999996"/>
  </r>
  <r>
    <d v="2034-09-05T00:00:00"/>
    <x v="9"/>
    <n v="24.6"/>
    <n v="2.1"/>
    <n v="0.51660000000000006"/>
  </r>
  <r>
    <d v="2034-09-06T00:00:00"/>
    <x v="15"/>
    <n v="15.7"/>
    <n v="0"/>
    <n v="0"/>
  </r>
  <r>
    <d v="2034-09-07T00:00:00"/>
    <x v="14"/>
    <n v="26.7"/>
    <n v="16.2"/>
    <n v="4.3253999999999992"/>
  </r>
  <r>
    <d v="2034-09-08T00:00:00"/>
    <x v="11"/>
    <n v="28.1"/>
    <n v="1.1000000000000001"/>
    <n v="0.30910000000000004"/>
  </r>
  <r>
    <d v="2034-09-09T00:00:00"/>
    <x v="6"/>
    <n v="29.1"/>
    <n v="3"/>
    <n v="0.87300000000000011"/>
  </r>
  <r>
    <d v="2034-09-10T00:00:00"/>
    <x v="3"/>
    <n v="26.2"/>
    <n v="0"/>
    <n v="0"/>
  </r>
  <r>
    <d v="2034-09-11T00:00:00"/>
    <x v="27"/>
    <n v="23.3"/>
    <n v="0"/>
    <n v="0"/>
  </r>
  <r>
    <d v="2034-09-12T00:00:00"/>
    <x v="15"/>
    <n v="21.7"/>
    <n v="10.4"/>
    <n v="2.2568000000000001"/>
  </r>
  <r>
    <d v="2034-09-13T00:00:00"/>
    <x v="14"/>
    <n v="18.8"/>
    <n v="15.6"/>
    <n v="2.9328000000000003"/>
  </r>
  <r>
    <d v="2034-09-14T00:00:00"/>
    <x v="11"/>
    <n v="25.4"/>
    <n v="7.4"/>
    <n v="1.8796000000000002"/>
  </r>
  <r>
    <d v="2034-09-15T00:00:00"/>
    <x v="7"/>
    <n v="21.1"/>
    <n v="1"/>
    <n v="0.21100000000000002"/>
  </r>
  <r>
    <d v="2034-09-16T00:00:00"/>
    <x v="7"/>
    <n v="25.1"/>
    <n v="20"/>
    <n v="5.0199999999999996"/>
  </r>
  <r>
    <d v="2034-09-17T00:00:00"/>
    <x v="3"/>
    <n v="17.600000000000001"/>
    <n v="0"/>
    <n v="0"/>
  </r>
  <r>
    <d v="2034-09-18T00:00:00"/>
    <x v="11"/>
    <n v="21.2"/>
    <n v="3.4"/>
    <n v="0.7208"/>
  </r>
  <r>
    <d v="2034-09-19T00:00:00"/>
    <x v="3"/>
    <n v="26.4"/>
    <n v="14.7"/>
    <n v="3.8807999999999998"/>
  </r>
  <r>
    <d v="2034-09-20T00:00:00"/>
    <x v="1"/>
    <n v="13.5"/>
    <n v="0"/>
    <n v="0"/>
  </r>
  <r>
    <d v="2034-09-21T00:00:00"/>
    <x v="18"/>
    <n v="25.1"/>
    <n v="0"/>
    <n v="0"/>
  </r>
  <r>
    <d v="2034-09-22T00:00:00"/>
    <x v="7"/>
    <n v="10.4"/>
    <n v="11"/>
    <n v="1.1440000000000001"/>
  </r>
  <r>
    <d v="2034-09-23T00:00:00"/>
    <x v="11"/>
    <n v="24.3"/>
    <n v="4.9000000000000004"/>
    <n v="1.1907000000000001"/>
  </r>
  <r>
    <d v="2034-09-24T00:00:00"/>
    <x v="8"/>
    <n v="18.7"/>
    <n v="6.2"/>
    <n v="1.1594"/>
  </r>
  <r>
    <d v="2034-09-25T00:00:00"/>
    <x v="29"/>
    <n v="14.1"/>
    <n v="0"/>
    <n v="0"/>
  </r>
  <r>
    <d v="2034-09-26T00:00:00"/>
    <x v="19"/>
    <n v="24.2"/>
    <n v="0"/>
    <n v="0"/>
  </r>
  <r>
    <d v="2034-09-27T00:00:00"/>
    <x v="18"/>
    <n v="26.4"/>
    <n v="0"/>
    <n v="0"/>
  </r>
  <r>
    <d v="2034-09-28T00:00:00"/>
    <x v="6"/>
    <n v="24.5"/>
    <n v="4"/>
    <n v="0.98"/>
  </r>
  <r>
    <d v="2034-09-29T00:00:00"/>
    <x v="10"/>
    <n v="25.5"/>
    <n v="2.9"/>
    <n v="0.73950000000000005"/>
  </r>
  <r>
    <d v="2034-09-30T00:00:00"/>
    <x v="7"/>
    <n v="11.8"/>
    <n v="13.5"/>
    <n v="1.5930000000000002"/>
  </r>
  <r>
    <d v="2034-10-01T00:00:00"/>
    <x v="18"/>
    <n v="14.3"/>
    <n v="5.4"/>
    <n v="0.77220000000000011"/>
  </r>
  <r>
    <d v="2034-10-02T00:00:00"/>
    <x v="5"/>
    <n v="12.4"/>
    <n v="1.2"/>
    <n v="0.14879999999999999"/>
  </r>
  <r>
    <d v="2034-10-03T00:00:00"/>
    <x v="15"/>
    <n v="29.3"/>
    <n v="19.8"/>
    <n v="5.8014000000000001"/>
  </r>
  <r>
    <d v="2034-10-04T00:00:00"/>
    <x v="3"/>
    <n v="29.4"/>
    <n v="0"/>
    <n v="0"/>
  </r>
  <r>
    <d v="2034-10-05T00:00:00"/>
    <x v="9"/>
    <n v="29.8"/>
    <n v="16"/>
    <n v="4.7679999999999998"/>
  </r>
  <r>
    <d v="2034-10-06T00:00:00"/>
    <x v="15"/>
    <n v="29.9"/>
    <n v="13.3"/>
    <n v="3.9767000000000001"/>
  </r>
  <r>
    <d v="2034-10-07T00:00:00"/>
    <x v="5"/>
    <n v="11.6"/>
    <n v="9.6999999999999993"/>
    <n v="1.1251999999999998"/>
  </r>
  <r>
    <d v="2034-10-08T00:00:00"/>
    <x v="7"/>
    <n v="10.199999999999999"/>
    <n v="0"/>
    <n v="0"/>
  </r>
  <r>
    <d v="2034-10-09T00:00:00"/>
    <x v="5"/>
    <n v="10.7"/>
    <n v="11.9"/>
    <n v="1.2732999999999999"/>
  </r>
  <r>
    <d v="2034-10-10T00:00:00"/>
    <x v="26"/>
    <n v="11.7"/>
    <n v="0.1"/>
    <n v="1.1699999999999999E-2"/>
  </r>
  <r>
    <d v="2034-10-11T00:00:00"/>
    <x v="14"/>
    <n v="29.4"/>
    <n v="9.6"/>
    <n v="2.8223999999999996"/>
  </r>
  <r>
    <d v="2034-10-12T00:00:00"/>
    <x v="16"/>
    <n v="29.1"/>
    <n v="2.6"/>
    <n v="0.75660000000000016"/>
  </r>
  <r>
    <d v="2034-10-13T00:00:00"/>
    <x v="6"/>
    <n v="20.5"/>
    <n v="30.1"/>
    <n v="6.1705000000000005"/>
  </r>
  <r>
    <d v="2034-10-14T00:00:00"/>
    <x v="3"/>
    <n v="26.2"/>
    <n v="19"/>
    <n v="4.9779999999999998"/>
  </r>
  <r>
    <d v="2034-10-15T00:00:00"/>
    <x v="11"/>
    <n v="22.6"/>
    <n v="0"/>
    <n v="0"/>
  </r>
  <r>
    <d v="2034-10-16T00:00:00"/>
    <x v="10"/>
    <n v="17.7"/>
    <n v="0"/>
    <n v="0"/>
  </r>
  <r>
    <d v="2034-10-17T00:00:00"/>
    <x v="15"/>
    <n v="21.2"/>
    <n v="0"/>
    <n v="0"/>
  </r>
  <r>
    <d v="2034-10-18T00:00:00"/>
    <x v="29"/>
    <n v="10.3"/>
    <n v="0.2"/>
    <n v="2.06E-2"/>
  </r>
  <r>
    <d v="2034-10-19T00:00:00"/>
    <x v="21"/>
    <n v="10.1"/>
    <n v="2.1"/>
    <n v="0.21210000000000001"/>
  </r>
  <r>
    <d v="2034-10-20T00:00:00"/>
    <x v="4"/>
    <n v="23.4"/>
    <n v="3.9"/>
    <n v="0.91259999999999986"/>
  </r>
  <r>
    <d v="2034-10-21T00:00:00"/>
    <x v="27"/>
    <n v="11.7"/>
    <n v="0"/>
    <n v="0"/>
  </r>
  <r>
    <d v="2034-10-22T00:00:00"/>
    <x v="1"/>
    <n v="26"/>
    <n v="2.1"/>
    <n v="0.54600000000000004"/>
  </r>
  <r>
    <d v="2034-10-23T00:00:00"/>
    <x v="26"/>
    <n v="29.5"/>
    <n v="0.4"/>
    <n v="0.11800000000000001"/>
  </r>
  <r>
    <d v="2034-10-24T00:00:00"/>
    <x v="10"/>
    <n v="13"/>
    <n v="4.4000000000000004"/>
    <n v="0.57200000000000006"/>
  </r>
  <r>
    <d v="2034-10-25T00:00:00"/>
    <x v="5"/>
    <n v="17.100000000000001"/>
    <n v="3.8"/>
    <n v="0.64980000000000004"/>
  </r>
  <r>
    <d v="2034-10-26T00:00:00"/>
    <x v="23"/>
    <n v="12.6"/>
    <n v="0.2"/>
    <n v="2.52E-2"/>
  </r>
  <r>
    <d v="2034-10-27T00:00:00"/>
    <x v="6"/>
    <n v="23.6"/>
    <n v="24.1"/>
    <n v="5.6876000000000007"/>
  </r>
  <r>
    <d v="2034-10-28T00:00:00"/>
    <x v="7"/>
    <n v="14.9"/>
    <n v="14.2"/>
    <n v="2.1157999999999997"/>
  </r>
  <r>
    <d v="2034-10-29T00:00:00"/>
    <x v="8"/>
    <n v="17"/>
    <n v="0"/>
    <n v="0"/>
  </r>
  <r>
    <d v="2034-10-30T00:00:00"/>
    <x v="7"/>
    <n v="12.8"/>
    <n v="0"/>
    <n v="0"/>
  </r>
  <r>
    <d v="2034-10-31T00:00:00"/>
    <x v="9"/>
    <n v="17.5"/>
    <n v="0"/>
    <n v="0"/>
  </r>
  <r>
    <d v="2034-11-01T00:00:00"/>
    <x v="6"/>
    <n v="13.9"/>
    <n v="15.3"/>
    <n v="2.1267"/>
  </r>
  <r>
    <d v="2034-11-02T00:00:00"/>
    <x v="15"/>
    <n v="25.9"/>
    <n v="14.5"/>
    <n v="3.7554999999999996"/>
  </r>
  <r>
    <d v="2034-11-03T00:00:00"/>
    <x v="13"/>
    <n v="12.1"/>
    <n v="0"/>
    <n v="0"/>
  </r>
  <r>
    <d v="2034-11-04T00:00:00"/>
    <x v="3"/>
    <n v="25.8"/>
    <n v="12.3"/>
    <n v="3.1734000000000004"/>
  </r>
  <r>
    <d v="2034-11-05T00:00:00"/>
    <x v="5"/>
    <n v="29.1"/>
    <n v="0"/>
    <n v="0"/>
  </r>
  <r>
    <d v="2034-11-06T00:00:00"/>
    <x v="6"/>
    <n v="13.2"/>
    <n v="0"/>
    <n v="0"/>
  </r>
  <r>
    <d v="2034-11-07T00:00:00"/>
    <x v="3"/>
    <n v="29.4"/>
    <n v="12.8"/>
    <n v="3.7631999999999999"/>
  </r>
  <r>
    <d v="2034-11-08T00:00:00"/>
    <x v="11"/>
    <n v="21"/>
    <n v="0"/>
    <n v="0"/>
  </r>
  <r>
    <d v="2034-11-09T00:00:00"/>
    <x v="2"/>
    <n v="22.7"/>
    <n v="12.4"/>
    <n v="2.8148"/>
  </r>
  <r>
    <d v="2034-11-10T00:00:00"/>
    <x v="6"/>
    <n v="25.1"/>
    <n v="43.4"/>
    <n v="10.8934"/>
  </r>
  <r>
    <d v="2034-11-11T00:00:00"/>
    <x v="6"/>
    <n v="26.8"/>
    <n v="26.9"/>
    <n v="7.2091999999999992"/>
  </r>
  <r>
    <d v="2034-11-12T00:00:00"/>
    <x v="25"/>
    <n v="15.9"/>
    <n v="0.5"/>
    <n v="7.9500000000000001E-2"/>
  </r>
  <r>
    <d v="2034-11-13T00:00:00"/>
    <x v="14"/>
    <n v="27.6"/>
    <n v="0"/>
    <n v="0"/>
  </r>
  <r>
    <d v="2034-11-14T00:00:00"/>
    <x v="21"/>
    <n v="20.8"/>
    <n v="0"/>
    <n v="0"/>
  </r>
  <r>
    <d v="2034-11-15T00:00:00"/>
    <x v="2"/>
    <n v="23.9"/>
    <n v="9.9"/>
    <n v="2.3660999999999999"/>
  </r>
  <r>
    <d v="2034-11-16T00:00:00"/>
    <x v="23"/>
    <n v="24.8"/>
    <n v="4.7"/>
    <n v="1.1656"/>
  </r>
  <r>
    <d v="2034-11-17T00:00:00"/>
    <x v="15"/>
    <n v="16.3"/>
    <n v="0"/>
    <n v="0"/>
  </r>
  <r>
    <d v="2034-11-18T00:00:00"/>
    <x v="14"/>
    <n v="20.100000000000001"/>
    <n v="0"/>
    <n v="0"/>
  </r>
  <r>
    <d v="2034-11-19T00:00:00"/>
    <x v="18"/>
    <n v="25.9"/>
    <n v="8.9"/>
    <n v="2.3050999999999999"/>
  </r>
  <r>
    <d v="2034-11-20T00:00:00"/>
    <x v="15"/>
    <n v="27.3"/>
    <n v="15.8"/>
    <n v="4.3134000000000006"/>
  </r>
  <r>
    <d v="2034-11-21T00:00:00"/>
    <x v="2"/>
    <n v="19.100000000000001"/>
    <n v="6.3"/>
    <n v="1.2033"/>
  </r>
  <r>
    <d v="2034-11-22T00:00:00"/>
    <x v="6"/>
    <n v="16.899999999999999"/>
    <n v="0"/>
    <n v="0"/>
  </r>
  <r>
    <d v="2034-11-23T00:00:00"/>
    <x v="3"/>
    <n v="13.4"/>
    <n v="20.100000000000001"/>
    <n v="2.6934000000000005"/>
  </r>
  <r>
    <d v="2034-11-24T00:00:00"/>
    <x v="20"/>
    <n v="24.8"/>
    <n v="0.4"/>
    <n v="9.920000000000001E-2"/>
  </r>
  <r>
    <d v="2034-11-25T00:00:00"/>
    <x v="13"/>
    <n v="28.4"/>
    <n v="1.6"/>
    <n v="0.45439999999999997"/>
  </r>
  <r>
    <d v="2034-11-26T00:00:00"/>
    <x v="19"/>
    <n v="25.3"/>
    <n v="1.8"/>
    <n v="0.45539999999999997"/>
  </r>
  <r>
    <d v="2034-11-27T00:00:00"/>
    <x v="14"/>
    <n v="25.9"/>
    <n v="1.6"/>
    <n v="0.41439999999999999"/>
  </r>
  <r>
    <d v="2034-11-28T00:00:00"/>
    <x v="2"/>
    <n v="12.2"/>
    <n v="0.8"/>
    <n v="9.7599999999999992E-2"/>
  </r>
  <r>
    <d v="2034-11-29T00:00:00"/>
    <x v="29"/>
    <n v="22.8"/>
    <n v="2.2999999999999998"/>
    <n v="0.52439999999999998"/>
  </r>
  <r>
    <d v="2034-11-30T00:00:00"/>
    <x v="15"/>
    <n v="12.7"/>
    <n v="0"/>
    <n v="0"/>
  </r>
  <r>
    <d v="2034-12-01T00:00:00"/>
    <x v="22"/>
    <n v="13"/>
    <n v="5.0999999999999996"/>
    <n v="0.66299999999999992"/>
  </r>
  <r>
    <d v="2034-12-02T00:00:00"/>
    <x v="6"/>
    <n v="13.5"/>
    <n v="4.9000000000000004"/>
    <n v="0.66150000000000009"/>
  </r>
  <r>
    <d v="2034-12-03T00:00:00"/>
    <x v="9"/>
    <n v="17.8"/>
    <n v="5"/>
    <n v="0.89"/>
  </r>
  <r>
    <d v="2034-12-04T00:00:00"/>
    <x v="6"/>
    <n v="21.5"/>
    <n v="47.1"/>
    <n v="10.1265"/>
  </r>
  <r>
    <d v="2034-12-05T00:00:00"/>
    <x v="4"/>
    <n v="20.5"/>
    <n v="0.1"/>
    <n v="2.0500000000000004E-2"/>
  </r>
  <r>
    <d v="2034-12-06T00:00:00"/>
    <x v="9"/>
    <n v="14.4"/>
    <n v="0"/>
    <n v="0"/>
  </r>
  <r>
    <d v="2034-12-07T00:00:00"/>
    <x v="11"/>
    <n v="12.3"/>
    <n v="0"/>
    <n v="0"/>
  </r>
  <r>
    <d v="2034-12-08T00:00:00"/>
    <x v="9"/>
    <n v="26.5"/>
    <n v="14"/>
    <n v="3.71"/>
  </r>
  <r>
    <d v="2034-12-09T00:00:00"/>
    <x v="9"/>
    <n v="17.7"/>
    <n v="0"/>
    <n v="0"/>
  </r>
  <r>
    <d v="2034-12-10T00:00:00"/>
    <x v="22"/>
    <n v="15.7"/>
    <n v="1"/>
    <n v="0.157"/>
  </r>
  <r>
    <d v="2034-12-11T00:00:00"/>
    <x v="16"/>
    <n v="16.2"/>
    <n v="0"/>
    <n v="0"/>
  </r>
  <r>
    <d v="2034-12-12T00:00:00"/>
    <x v="17"/>
    <n v="18.600000000000001"/>
    <n v="1.4"/>
    <n v="0.26039999999999996"/>
  </r>
  <r>
    <d v="2034-12-13T00:00:00"/>
    <x v="14"/>
    <n v="23.9"/>
    <n v="4"/>
    <n v="0.95599999999999996"/>
  </r>
  <r>
    <d v="2034-12-14T00:00:00"/>
    <x v="6"/>
    <n v="15.8"/>
    <n v="50.3"/>
    <n v="7.9474"/>
  </r>
  <r>
    <d v="2034-12-15T00:00:00"/>
    <x v="8"/>
    <n v="26.2"/>
    <n v="8.5"/>
    <n v="2.2269999999999999"/>
  </r>
  <r>
    <d v="2034-12-16T00:00:00"/>
    <x v="6"/>
    <n v="23.1"/>
    <n v="0"/>
    <n v="0"/>
  </r>
  <r>
    <d v="2034-12-17T00:00:00"/>
    <x v="17"/>
    <n v="10.8"/>
    <n v="0"/>
    <n v="0"/>
  </r>
  <r>
    <d v="2034-12-18T00:00:00"/>
    <x v="14"/>
    <n v="21.2"/>
    <n v="16.100000000000001"/>
    <n v="3.4131999999999998"/>
  </r>
  <r>
    <d v="2034-12-19T00:00:00"/>
    <x v="3"/>
    <n v="26.3"/>
    <n v="21.1"/>
    <n v="5.5493000000000006"/>
  </r>
  <r>
    <d v="2034-12-20T00:00:00"/>
    <x v="3"/>
    <n v="22.8"/>
    <n v="22.7"/>
    <n v="5.1755999999999993"/>
  </r>
  <r>
    <d v="2034-12-21T00:00:00"/>
    <x v="14"/>
    <n v="24"/>
    <n v="11.5"/>
    <n v="2.76"/>
  </r>
  <r>
    <d v="2034-12-22T00:00:00"/>
    <x v="10"/>
    <n v="16.8"/>
    <n v="2"/>
    <n v="0.33600000000000002"/>
  </r>
  <r>
    <d v="2034-12-23T00:00:00"/>
    <x v="9"/>
    <n v="12.5"/>
    <n v="4.7"/>
    <n v="0.58750000000000002"/>
  </r>
  <r>
    <d v="2034-12-24T00:00:00"/>
    <x v="6"/>
    <n v="15"/>
    <n v="1.7"/>
    <n v="0.255"/>
  </r>
  <r>
    <d v="2034-12-25T00:00:00"/>
    <x v="14"/>
    <n v="16.2"/>
    <n v="0"/>
    <n v="0"/>
  </r>
  <r>
    <d v="2034-12-26T00:00:00"/>
    <x v="3"/>
    <n v="29.3"/>
    <n v="0"/>
    <n v="0"/>
  </r>
  <r>
    <d v="2034-12-27T00:00:00"/>
    <x v="28"/>
    <n v="26.4"/>
    <n v="0.2"/>
    <n v="5.28E-2"/>
  </r>
  <r>
    <d v="2034-12-28T00:00:00"/>
    <x v="14"/>
    <n v="23"/>
    <n v="0"/>
    <n v="0"/>
  </r>
  <r>
    <d v="2034-12-29T00:00:00"/>
    <x v="7"/>
    <n v="25.4"/>
    <n v="1.2"/>
    <n v="0.30479999999999996"/>
  </r>
  <r>
    <d v="2034-12-30T00:00:00"/>
    <x v="6"/>
    <n v="24.5"/>
    <n v="22.5"/>
    <n v="5.5125000000000002"/>
  </r>
  <r>
    <d v="2034-12-31T00:00:00"/>
    <x v="15"/>
    <n v="19"/>
    <n v="18.899999999999999"/>
    <n v="3.5909999999999997"/>
  </r>
  <r>
    <d v="2035-01-01T00:00:00"/>
    <x v="15"/>
    <n v="10"/>
    <n v="7.6"/>
    <n v="0.76"/>
  </r>
  <r>
    <d v="2035-01-02T00:00:00"/>
    <x v="6"/>
    <n v="10.4"/>
    <n v="20.6"/>
    <n v="2.1424000000000003"/>
  </r>
  <r>
    <d v="2035-01-03T00:00:00"/>
    <x v="17"/>
    <n v="10.5"/>
    <n v="0"/>
    <n v="0"/>
  </r>
  <r>
    <d v="2035-01-04T00:00:00"/>
    <x v="2"/>
    <n v="12.1"/>
    <n v="8.8000000000000007"/>
    <n v="1.0648"/>
  </r>
  <r>
    <d v="2035-01-05T00:00:00"/>
    <x v="6"/>
    <n v="20.5"/>
    <n v="0"/>
    <n v="0"/>
  </r>
  <r>
    <d v="2035-01-06T00:00:00"/>
    <x v="9"/>
    <n v="13.1"/>
    <n v="0"/>
    <n v="0"/>
  </r>
  <r>
    <d v="2035-01-07T00:00:00"/>
    <x v="22"/>
    <n v="29.8"/>
    <n v="1.1000000000000001"/>
    <n v="0.32780000000000004"/>
  </r>
  <r>
    <d v="2035-01-08T00:00:00"/>
    <x v="11"/>
    <n v="17.100000000000001"/>
    <n v="5.5"/>
    <n v="0.94050000000000011"/>
  </r>
  <r>
    <d v="2035-01-09T00:00:00"/>
    <x v="10"/>
    <n v="29.1"/>
    <n v="0.4"/>
    <n v="0.1164"/>
  </r>
  <r>
    <d v="2035-01-10T00:00:00"/>
    <x v="14"/>
    <n v="10.9"/>
    <n v="0"/>
    <n v="0"/>
  </r>
  <r>
    <d v="2035-01-11T00:00:00"/>
    <x v="28"/>
    <n v="27.4"/>
    <n v="0.3"/>
    <n v="8.2199999999999995E-2"/>
  </r>
  <r>
    <d v="2035-01-12T00:00:00"/>
    <x v="15"/>
    <n v="16.3"/>
    <n v="9.8000000000000007"/>
    <n v="1.5974000000000002"/>
  </r>
  <r>
    <d v="2035-01-13T00:00:00"/>
    <x v="3"/>
    <n v="14.7"/>
    <n v="0"/>
    <n v="0"/>
  </r>
  <r>
    <d v="2035-01-14T00:00:00"/>
    <x v="8"/>
    <n v="17.2"/>
    <n v="2"/>
    <n v="0.34399999999999997"/>
  </r>
  <r>
    <d v="2035-01-15T00:00:00"/>
    <x v="11"/>
    <n v="24.2"/>
    <n v="9.9"/>
    <n v="2.3957999999999999"/>
  </r>
  <r>
    <d v="2035-01-16T00:00:00"/>
    <x v="9"/>
    <n v="22.3"/>
    <n v="0"/>
    <n v="0"/>
  </r>
  <r>
    <d v="2035-01-17T00:00:00"/>
    <x v="25"/>
    <n v="26.7"/>
    <n v="0.6"/>
    <n v="0.16020000000000001"/>
  </r>
  <r>
    <d v="2035-01-18T00:00:00"/>
    <x v="8"/>
    <n v="10.9"/>
    <n v="3.8"/>
    <n v="0.41420000000000001"/>
  </r>
  <r>
    <d v="2035-01-19T00:00:00"/>
    <x v="17"/>
    <n v="23.7"/>
    <n v="0"/>
    <n v="0"/>
  </r>
  <r>
    <d v="2035-01-20T00:00:00"/>
    <x v="6"/>
    <n v="16"/>
    <n v="22.3"/>
    <n v="3.5680000000000001"/>
  </r>
  <r>
    <d v="2035-01-21T00:00:00"/>
    <x v="6"/>
    <n v="19.399999999999999"/>
    <n v="41.6"/>
    <n v="8.0703999999999994"/>
  </r>
  <r>
    <d v="2035-01-22T00:00:00"/>
    <x v="7"/>
    <n v="26.7"/>
    <n v="10"/>
    <n v="2.67"/>
  </r>
  <r>
    <d v="2035-01-23T00:00:00"/>
    <x v="15"/>
    <n v="20.8"/>
    <n v="0"/>
    <n v="0"/>
  </r>
  <r>
    <d v="2035-01-24T00:00:00"/>
    <x v="6"/>
    <n v="25.6"/>
    <n v="0"/>
    <n v="0"/>
  </r>
  <r>
    <d v="2035-01-25T00:00:00"/>
    <x v="14"/>
    <n v="18.3"/>
    <n v="0.5"/>
    <n v="9.1499999999999998E-2"/>
  </r>
  <r>
    <d v="2035-01-26T00:00:00"/>
    <x v="5"/>
    <n v="27.4"/>
    <n v="4.2"/>
    <n v="1.1508"/>
  </r>
  <r>
    <d v="2035-01-27T00:00:00"/>
    <x v="19"/>
    <n v="16.100000000000001"/>
    <n v="3.4"/>
    <n v="0.5474"/>
  </r>
  <r>
    <d v="2035-01-28T00:00:00"/>
    <x v="10"/>
    <n v="27.5"/>
    <n v="8"/>
    <n v="2.2000000000000002"/>
  </r>
  <r>
    <d v="2035-01-29T00:00:00"/>
    <x v="5"/>
    <n v="28.4"/>
    <n v="10.199999999999999"/>
    <n v="2.8967999999999994"/>
  </r>
  <r>
    <d v="2035-01-30T00:00:00"/>
    <x v="9"/>
    <n v="16.100000000000001"/>
    <n v="4"/>
    <n v="0.64400000000000002"/>
  </r>
  <r>
    <d v="2035-01-31T00:00:00"/>
    <x v="19"/>
    <n v="28.4"/>
    <n v="2.6"/>
    <n v="0.73840000000000006"/>
  </r>
  <r>
    <d v="2035-02-01T00:00:00"/>
    <x v="10"/>
    <n v="29.3"/>
    <n v="0"/>
    <n v="0"/>
  </r>
  <r>
    <d v="2035-02-02T00:00:00"/>
    <x v="9"/>
    <n v="19.7"/>
    <n v="16.2"/>
    <n v="3.1913999999999998"/>
  </r>
  <r>
    <d v="2035-02-03T00:00:00"/>
    <x v="27"/>
    <n v="11.5"/>
    <n v="0.3"/>
    <n v="3.4499999999999996E-2"/>
  </r>
  <r>
    <d v="2035-02-04T00:00:00"/>
    <x v="15"/>
    <n v="19.5"/>
    <n v="0"/>
    <n v="0"/>
  </r>
  <r>
    <d v="2035-02-05T00:00:00"/>
    <x v="16"/>
    <n v="22.7"/>
    <n v="0.7"/>
    <n v="0.15889999999999999"/>
  </r>
  <r>
    <d v="2035-02-06T00:00:00"/>
    <x v="3"/>
    <n v="19.7"/>
    <n v="7.3"/>
    <n v="1.4380999999999999"/>
  </r>
  <r>
    <d v="2035-02-07T00:00:00"/>
    <x v="22"/>
    <n v="19.399999999999999"/>
    <n v="0.4"/>
    <n v="7.7600000000000002E-2"/>
  </r>
  <r>
    <d v="2035-02-08T00:00:00"/>
    <x v="19"/>
    <n v="13.8"/>
    <n v="1.1000000000000001"/>
    <n v="0.15180000000000002"/>
  </r>
  <r>
    <d v="2035-02-09T00:00:00"/>
    <x v="9"/>
    <n v="19.600000000000001"/>
    <n v="2.2999999999999998"/>
    <n v="0.45079999999999998"/>
  </r>
  <r>
    <d v="2035-02-10T00:00:00"/>
    <x v="15"/>
    <n v="22.6"/>
    <n v="13.3"/>
    <n v="3.0058000000000002"/>
  </r>
  <r>
    <d v="2035-02-11T00:00:00"/>
    <x v="2"/>
    <n v="18.2"/>
    <n v="7.6"/>
    <n v="1.3832"/>
  </r>
  <r>
    <d v="2035-02-12T00:00:00"/>
    <x v="15"/>
    <n v="27.3"/>
    <n v="38.4"/>
    <n v="10.4832"/>
  </r>
  <r>
    <d v="2035-02-13T00:00:00"/>
    <x v="15"/>
    <n v="14.7"/>
    <n v="31.8"/>
    <n v="4.6745999999999999"/>
  </r>
  <r>
    <d v="2035-02-14T00:00:00"/>
    <x v="18"/>
    <n v="20.6"/>
    <n v="5.9"/>
    <n v="1.2154000000000003"/>
  </r>
  <r>
    <d v="2035-02-15T00:00:00"/>
    <x v="6"/>
    <n v="12.6"/>
    <n v="14.4"/>
    <n v="1.8144"/>
  </r>
  <r>
    <d v="2035-02-16T00:00:00"/>
    <x v="7"/>
    <n v="14.5"/>
    <n v="0"/>
    <n v="0"/>
  </r>
  <r>
    <d v="2035-02-17T00:00:00"/>
    <x v="6"/>
    <n v="24.7"/>
    <n v="36"/>
    <n v="8.8919999999999995"/>
  </r>
  <r>
    <d v="2035-02-18T00:00:00"/>
    <x v="15"/>
    <n v="17.899999999999999"/>
    <n v="24.9"/>
    <n v="4.4570999999999996"/>
  </r>
  <r>
    <d v="2035-02-19T00:00:00"/>
    <x v="10"/>
    <n v="20.2"/>
    <n v="2.9"/>
    <n v="0.58579999999999999"/>
  </r>
  <r>
    <d v="2035-02-20T00:00:00"/>
    <x v="4"/>
    <n v="13.4"/>
    <n v="1.7"/>
    <n v="0.2278"/>
  </r>
  <r>
    <d v="2035-02-21T00:00:00"/>
    <x v="13"/>
    <n v="12.2"/>
    <n v="6"/>
    <n v="0.73199999999999987"/>
  </r>
  <r>
    <d v="2035-02-22T00:00:00"/>
    <x v="26"/>
    <n v="29.8"/>
    <n v="0.4"/>
    <n v="0.11920000000000001"/>
  </r>
  <r>
    <d v="2035-02-23T00:00:00"/>
    <x v="15"/>
    <n v="16.100000000000001"/>
    <n v="28.7"/>
    <n v="4.6207000000000003"/>
  </r>
  <r>
    <d v="2035-02-24T00:00:00"/>
    <x v="6"/>
    <n v="18.8"/>
    <n v="0"/>
    <n v="0"/>
  </r>
  <r>
    <d v="2035-02-25T00:00:00"/>
    <x v="11"/>
    <n v="17.100000000000001"/>
    <n v="0"/>
    <n v="0"/>
  </r>
  <r>
    <d v="2035-02-26T00:00:00"/>
    <x v="5"/>
    <n v="11.7"/>
    <n v="7.7"/>
    <n v="0.90090000000000003"/>
  </r>
  <r>
    <d v="2035-02-27T00:00:00"/>
    <x v="14"/>
    <n v="25.4"/>
    <n v="14.2"/>
    <n v="3.6067999999999993"/>
  </r>
  <r>
    <d v="2035-02-28T00:00:00"/>
    <x v="18"/>
    <n v="12.6"/>
    <n v="9"/>
    <n v="1.1339999999999999"/>
  </r>
  <r>
    <d v="2035-03-01T00:00:00"/>
    <x v="6"/>
    <n v="15.8"/>
    <n v="0"/>
    <n v="0"/>
  </r>
  <r>
    <d v="2035-03-02T00:00:00"/>
    <x v="14"/>
    <n v="24.7"/>
    <n v="13.9"/>
    <n v="3.4333"/>
  </r>
  <r>
    <d v="2035-03-03T00:00:00"/>
    <x v="23"/>
    <n v="26.7"/>
    <n v="0"/>
    <n v="0"/>
  </r>
  <r>
    <d v="2035-03-04T00:00:00"/>
    <x v="15"/>
    <n v="21.2"/>
    <n v="5.3"/>
    <n v="1.1235999999999999"/>
  </r>
  <r>
    <d v="2035-03-05T00:00:00"/>
    <x v="2"/>
    <n v="10.4"/>
    <n v="8.6"/>
    <n v="0.89439999999999997"/>
  </r>
  <r>
    <d v="2035-03-06T00:00:00"/>
    <x v="22"/>
    <n v="25.1"/>
    <n v="3.3"/>
    <n v="0.82830000000000004"/>
  </r>
  <r>
    <d v="2035-03-07T00:00:00"/>
    <x v="15"/>
    <n v="27.8"/>
    <n v="20.9"/>
    <n v="5.8102"/>
  </r>
  <r>
    <d v="2035-03-08T00:00:00"/>
    <x v="7"/>
    <n v="26.1"/>
    <n v="0"/>
    <n v="0"/>
  </r>
  <r>
    <d v="2035-03-09T00:00:00"/>
    <x v="9"/>
    <n v="18.3"/>
    <n v="7.8"/>
    <n v="1.4274"/>
  </r>
  <r>
    <d v="2035-03-10T00:00:00"/>
    <x v="7"/>
    <n v="16.3"/>
    <n v="0"/>
    <n v="0"/>
  </r>
  <r>
    <d v="2035-03-11T00:00:00"/>
    <x v="7"/>
    <n v="17.2"/>
    <n v="12.5"/>
    <n v="2.15"/>
  </r>
  <r>
    <d v="2035-03-12T00:00:00"/>
    <x v="20"/>
    <n v="22.1"/>
    <n v="3.7"/>
    <n v="0.81770000000000009"/>
  </r>
  <r>
    <d v="2035-03-13T00:00:00"/>
    <x v="19"/>
    <n v="18.8"/>
    <n v="0"/>
    <n v="0"/>
  </r>
  <r>
    <d v="2035-03-14T00:00:00"/>
    <x v="14"/>
    <n v="12.3"/>
    <n v="7.1"/>
    <n v="0.87329999999999997"/>
  </r>
  <r>
    <d v="2035-03-15T00:00:00"/>
    <x v="6"/>
    <n v="27.5"/>
    <n v="34.299999999999997"/>
    <n v="9.4324999999999992"/>
  </r>
  <r>
    <d v="2035-03-16T00:00:00"/>
    <x v="14"/>
    <n v="23.1"/>
    <n v="0"/>
    <n v="0"/>
  </r>
  <r>
    <d v="2035-03-17T00:00:00"/>
    <x v="7"/>
    <n v="21.3"/>
    <n v="0"/>
    <n v="0"/>
  </r>
  <r>
    <d v="2035-03-18T00:00:00"/>
    <x v="22"/>
    <n v="13.8"/>
    <n v="5.9"/>
    <n v="0.81420000000000015"/>
  </r>
  <r>
    <d v="2035-03-19T00:00:00"/>
    <x v="9"/>
    <n v="20"/>
    <n v="16"/>
    <n v="3.2"/>
  </r>
  <r>
    <d v="2035-03-20T00:00:00"/>
    <x v="8"/>
    <n v="23.9"/>
    <n v="0"/>
    <n v="0"/>
  </r>
  <r>
    <d v="2035-03-21T00:00:00"/>
    <x v="25"/>
    <n v="15.3"/>
    <n v="0.1"/>
    <n v="1.5300000000000003E-2"/>
  </r>
  <r>
    <d v="2035-03-22T00:00:00"/>
    <x v="10"/>
    <n v="16.600000000000001"/>
    <n v="0"/>
    <n v="0"/>
  </r>
  <r>
    <d v="2035-03-23T00:00:00"/>
    <x v="23"/>
    <n v="20.8"/>
    <n v="2"/>
    <n v="0.41600000000000004"/>
  </r>
  <r>
    <d v="2035-03-24T00:00:00"/>
    <x v="7"/>
    <n v="10.8"/>
    <n v="12.3"/>
    <n v="1.3284"/>
  </r>
  <r>
    <d v="2035-03-25T00:00:00"/>
    <x v="7"/>
    <n v="12.5"/>
    <n v="18.399999999999999"/>
    <n v="2.2999999999999998"/>
  </r>
  <r>
    <d v="2035-03-26T00:00:00"/>
    <x v="5"/>
    <n v="24"/>
    <n v="4.9000000000000004"/>
    <n v="1.1760000000000002"/>
  </r>
  <r>
    <d v="2035-03-27T00:00:00"/>
    <x v="6"/>
    <n v="21.4"/>
    <n v="11.1"/>
    <n v="2.3753999999999995"/>
  </r>
  <r>
    <d v="2035-03-28T00:00:00"/>
    <x v="18"/>
    <n v="18.3"/>
    <n v="0"/>
    <n v="0"/>
  </r>
  <r>
    <d v="2035-03-29T00:00:00"/>
    <x v="11"/>
    <n v="10.5"/>
    <n v="3.9"/>
    <n v="0.40949999999999998"/>
  </r>
  <r>
    <d v="2035-03-30T00:00:00"/>
    <x v="6"/>
    <n v="11.7"/>
    <n v="0"/>
    <n v="0"/>
  </r>
  <r>
    <d v="2035-03-31T00:00:00"/>
    <x v="3"/>
    <n v="26.8"/>
    <n v="0"/>
    <n v="0"/>
  </r>
  <r>
    <d v="2035-04-01T00:00:00"/>
    <x v="6"/>
    <n v="22.1"/>
    <n v="33.799999999999997"/>
    <n v="7.4698000000000002"/>
  </r>
  <r>
    <d v="2035-04-02T00:00:00"/>
    <x v="28"/>
    <n v="17.100000000000001"/>
    <n v="0"/>
    <n v="0"/>
  </r>
  <r>
    <d v="2035-04-03T00:00:00"/>
    <x v="9"/>
    <n v="12.1"/>
    <n v="14.4"/>
    <n v="1.7424000000000002"/>
  </r>
  <r>
    <d v="2035-04-04T00:00:00"/>
    <x v="15"/>
    <n v="28.6"/>
    <n v="23.2"/>
    <n v="6.6352000000000002"/>
  </r>
  <r>
    <d v="2035-04-05T00:00:00"/>
    <x v="2"/>
    <n v="21.2"/>
    <n v="1.5"/>
    <n v="0.31799999999999995"/>
  </r>
  <r>
    <d v="2035-04-06T00:00:00"/>
    <x v="5"/>
    <n v="17.2"/>
    <n v="2.4"/>
    <n v="0.41279999999999994"/>
  </r>
  <r>
    <d v="2035-04-07T00:00:00"/>
    <x v="6"/>
    <n v="22.3"/>
    <n v="0"/>
    <n v="0"/>
  </r>
  <r>
    <d v="2035-04-08T00:00:00"/>
    <x v="11"/>
    <n v="13.2"/>
    <n v="3.6"/>
    <n v="0.47519999999999996"/>
  </r>
  <r>
    <d v="2035-04-09T00:00:00"/>
    <x v="14"/>
    <n v="13.6"/>
    <n v="13.4"/>
    <n v="1.8224"/>
  </r>
  <r>
    <d v="2035-04-10T00:00:00"/>
    <x v="8"/>
    <n v="15.7"/>
    <n v="0"/>
    <n v="0"/>
  </r>
  <r>
    <d v="2035-04-11T00:00:00"/>
    <x v="5"/>
    <n v="24.8"/>
    <n v="0"/>
    <n v="0"/>
  </r>
  <r>
    <d v="2035-04-12T00:00:00"/>
    <x v="6"/>
    <n v="25.1"/>
    <n v="5.0999999999999996"/>
    <n v="1.2801"/>
  </r>
  <r>
    <d v="2035-04-13T00:00:00"/>
    <x v="15"/>
    <n v="14.2"/>
    <n v="23.5"/>
    <n v="3.3369999999999997"/>
  </r>
  <r>
    <d v="2035-04-14T00:00:00"/>
    <x v="10"/>
    <n v="21.1"/>
    <n v="1.4"/>
    <n v="0.2954"/>
  </r>
  <r>
    <d v="2035-04-15T00:00:00"/>
    <x v="6"/>
    <n v="25.4"/>
    <n v="28"/>
    <n v="7.1119999999999992"/>
  </r>
  <r>
    <d v="2035-04-16T00:00:00"/>
    <x v="6"/>
    <n v="24.7"/>
    <n v="5.7"/>
    <n v="1.4078999999999999"/>
  </r>
  <r>
    <d v="2035-04-17T00:00:00"/>
    <x v="9"/>
    <n v="19.8"/>
    <n v="0"/>
    <n v="0"/>
  </r>
  <r>
    <d v="2035-04-18T00:00:00"/>
    <x v="23"/>
    <n v="28.4"/>
    <n v="2.9"/>
    <n v="0.8236"/>
  </r>
  <r>
    <d v="2035-04-19T00:00:00"/>
    <x v="7"/>
    <n v="26.5"/>
    <n v="0"/>
    <n v="0"/>
  </r>
  <r>
    <d v="2035-04-20T00:00:00"/>
    <x v="6"/>
    <n v="14.1"/>
    <n v="13.1"/>
    <n v="1.8470999999999997"/>
  </r>
  <r>
    <d v="2035-04-21T00:00:00"/>
    <x v="24"/>
    <n v="15.9"/>
    <n v="0.5"/>
    <n v="7.9500000000000001E-2"/>
  </r>
  <r>
    <d v="2035-04-22T00:00:00"/>
    <x v="15"/>
    <n v="28.2"/>
    <n v="26.9"/>
    <n v="7.585799999999999"/>
  </r>
  <r>
    <d v="2035-04-23T00:00:00"/>
    <x v="24"/>
    <n v="17.100000000000001"/>
    <n v="0.5"/>
    <n v="8.5500000000000007E-2"/>
  </r>
  <r>
    <d v="2035-04-24T00:00:00"/>
    <x v="15"/>
    <n v="27"/>
    <n v="0"/>
    <n v="0"/>
  </r>
  <r>
    <d v="2035-04-25T00:00:00"/>
    <x v="14"/>
    <n v="24.1"/>
    <n v="0"/>
    <n v="0"/>
  </r>
  <r>
    <d v="2035-04-26T00:00:00"/>
    <x v="8"/>
    <n v="10.4"/>
    <n v="7.2"/>
    <n v="0.74880000000000013"/>
  </r>
  <r>
    <d v="2035-04-27T00:00:00"/>
    <x v="9"/>
    <n v="27.2"/>
    <n v="15.1"/>
    <n v="4.1071999999999997"/>
  </r>
  <r>
    <d v="2035-04-28T00:00:00"/>
    <x v="18"/>
    <n v="22.1"/>
    <n v="0"/>
    <n v="0"/>
  </r>
  <r>
    <d v="2035-04-29T00:00:00"/>
    <x v="10"/>
    <n v="13.3"/>
    <n v="8.5"/>
    <n v="1.1305000000000001"/>
  </r>
  <r>
    <d v="2035-04-30T00:00:00"/>
    <x v="8"/>
    <n v="26.4"/>
    <n v="0"/>
    <n v="0"/>
  </r>
  <r>
    <d v="2035-05-01T00:00:00"/>
    <x v="21"/>
    <n v="25.8"/>
    <n v="2.9"/>
    <n v="0.74819999999999998"/>
  </r>
  <r>
    <d v="2035-05-02T00:00:00"/>
    <x v="11"/>
    <n v="23"/>
    <n v="3.8"/>
    <n v="0.87399999999999989"/>
  </r>
  <r>
    <d v="2035-05-03T00:00:00"/>
    <x v="9"/>
    <n v="22.7"/>
    <n v="0"/>
    <n v="0"/>
  </r>
  <r>
    <d v="2035-05-04T00:00:00"/>
    <x v="22"/>
    <n v="26.2"/>
    <n v="5.0999999999999996"/>
    <n v="1.3361999999999998"/>
  </r>
  <r>
    <d v="2035-05-05T00:00:00"/>
    <x v="10"/>
    <n v="16.600000000000001"/>
    <n v="0"/>
    <n v="0"/>
  </r>
  <r>
    <d v="2035-05-06T00:00:00"/>
    <x v="19"/>
    <n v="23.9"/>
    <n v="0"/>
    <n v="0"/>
  </r>
  <r>
    <d v="2035-05-07T00:00:00"/>
    <x v="3"/>
    <n v="10.6"/>
    <n v="21.3"/>
    <n v="2.2578"/>
  </r>
  <r>
    <d v="2035-05-08T00:00:00"/>
    <x v="6"/>
    <n v="22.8"/>
    <n v="24.6"/>
    <n v="5.6087999999999996"/>
  </r>
  <r>
    <d v="2035-05-09T00:00:00"/>
    <x v="1"/>
    <n v="26.8"/>
    <n v="7.5"/>
    <n v="2.0099999999999998"/>
  </r>
  <r>
    <d v="2035-05-10T00:00:00"/>
    <x v="15"/>
    <n v="21.3"/>
    <n v="37.700000000000003"/>
    <n v="8.0301000000000009"/>
  </r>
  <r>
    <d v="2035-05-11T00:00:00"/>
    <x v="8"/>
    <n v="20.3"/>
    <n v="11"/>
    <n v="2.2330000000000001"/>
  </r>
  <r>
    <d v="2035-05-12T00:00:00"/>
    <x v="15"/>
    <n v="25.6"/>
    <n v="20.100000000000001"/>
    <n v="5.1456000000000008"/>
  </r>
  <r>
    <d v="2035-05-13T00:00:00"/>
    <x v="9"/>
    <n v="25.1"/>
    <n v="14.7"/>
    <n v="3.6897000000000002"/>
  </r>
  <r>
    <d v="2035-05-14T00:00:00"/>
    <x v="3"/>
    <n v="24.3"/>
    <n v="24.3"/>
    <n v="5.9049000000000005"/>
  </r>
  <r>
    <d v="2035-05-15T00:00:00"/>
    <x v="10"/>
    <n v="12.9"/>
    <n v="2.7"/>
    <n v="0.34830000000000005"/>
  </r>
  <r>
    <d v="2035-05-16T00:00:00"/>
    <x v="15"/>
    <n v="16.7"/>
    <n v="27.7"/>
    <n v="4.6258999999999997"/>
  </r>
  <r>
    <d v="2035-05-17T00:00:00"/>
    <x v="6"/>
    <n v="16.2"/>
    <n v="20.5"/>
    <n v="3.3209999999999997"/>
  </r>
  <r>
    <d v="2035-05-18T00:00:00"/>
    <x v="8"/>
    <n v="19.5"/>
    <n v="5.0999999999999996"/>
    <n v="0.99449999999999994"/>
  </r>
  <r>
    <d v="2035-05-19T00:00:00"/>
    <x v="6"/>
    <n v="22.9"/>
    <n v="6.6"/>
    <n v="1.5113999999999999"/>
  </r>
  <r>
    <d v="2035-05-20T00:00:00"/>
    <x v="15"/>
    <n v="25.9"/>
    <n v="4.4000000000000004"/>
    <n v="1.1396000000000002"/>
  </r>
  <r>
    <d v="2035-05-21T00:00:00"/>
    <x v="14"/>
    <n v="20.3"/>
    <n v="4.5999999999999996"/>
    <n v="0.93379999999999996"/>
  </r>
  <r>
    <d v="2035-05-22T00:00:00"/>
    <x v="24"/>
    <n v="11.3"/>
    <n v="0.3"/>
    <n v="3.39E-2"/>
  </r>
  <r>
    <d v="2035-05-23T00:00:00"/>
    <x v="6"/>
    <n v="27.4"/>
    <n v="29.9"/>
    <n v="8.1925999999999988"/>
  </r>
  <r>
    <d v="2035-05-24T00:00:00"/>
    <x v="15"/>
    <n v="29.2"/>
    <n v="0"/>
    <n v="0"/>
  </r>
  <r>
    <d v="2035-05-25T00:00:00"/>
    <x v="0"/>
    <n v="27.4"/>
    <n v="0"/>
    <n v="0"/>
  </r>
  <r>
    <d v="2035-05-26T00:00:00"/>
    <x v="15"/>
    <n v="10.1"/>
    <n v="8.1"/>
    <n v="0.81809999999999983"/>
  </r>
  <r>
    <d v="2035-05-27T00:00:00"/>
    <x v="1"/>
    <n v="12.9"/>
    <n v="5.9"/>
    <n v="0.76110000000000011"/>
  </r>
  <r>
    <d v="2035-05-28T00:00:00"/>
    <x v="10"/>
    <n v="18.7"/>
    <n v="0"/>
    <n v="0"/>
  </r>
  <r>
    <d v="2035-05-29T00:00:00"/>
    <x v="28"/>
    <n v="17.8"/>
    <n v="0.3"/>
    <n v="5.3399999999999996E-2"/>
  </r>
  <r>
    <d v="2035-05-30T00:00:00"/>
    <x v="6"/>
    <n v="24.7"/>
    <n v="42.9"/>
    <n v="10.596299999999999"/>
  </r>
  <r>
    <d v="2035-05-31T00:00:00"/>
    <x v="6"/>
    <n v="28.7"/>
    <n v="33.799999999999997"/>
    <n v="9.7005999999999997"/>
  </r>
  <r>
    <d v="2035-06-01T00:00:00"/>
    <x v="14"/>
    <n v="12.3"/>
    <n v="1.7"/>
    <n v="0.20910000000000001"/>
  </r>
  <r>
    <d v="2035-06-02T00:00:00"/>
    <x v="15"/>
    <n v="22.9"/>
    <n v="0"/>
    <n v="0"/>
  </r>
  <r>
    <d v="2035-06-03T00:00:00"/>
    <x v="13"/>
    <n v="20"/>
    <n v="3"/>
    <n v="0.6"/>
  </r>
  <r>
    <d v="2035-06-04T00:00:00"/>
    <x v="6"/>
    <n v="27.3"/>
    <n v="0"/>
    <n v="0"/>
  </r>
  <r>
    <d v="2035-06-05T00:00:00"/>
    <x v="9"/>
    <n v="29.9"/>
    <n v="7.7"/>
    <n v="2.3022999999999998"/>
  </r>
  <r>
    <d v="2035-06-06T00:00:00"/>
    <x v="8"/>
    <n v="27.5"/>
    <n v="2.7"/>
    <n v="0.74250000000000005"/>
  </r>
  <r>
    <d v="2035-06-07T00:00:00"/>
    <x v="14"/>
    <n v="16.5"/>
    <n v="13.3"/>
    <n v="2.1945000000000001"/>
  </r>
  <r>
    <d v="2035-06-08T00:00:00"/>
    <x v="1"/>
    <n v="23.5"/>
    <n v="5.9"/>
    <n v="1.3865000000000001"/>
  </r>
  <r>
    <d v="2035-06-09T00:00:00"/>
    <x v="1"/>
    <n v="21.5"/>
    <n v="4.0999999999999996"/>
    <n v="0.88149999999999995"/>
  </r>
  <r>
    <d v="2035-06-10T00:00:00"/>
    <x v="11"/>
    <n v="10.3"/>
    <n v="15.6"/>
    <n v="1.6068"/>
  </r>
  <r>
    <d v="2035-06-11T00:00:00"/>
    <x v="6"/>
    <n v="15"/>
    <n v="0"/>
    <n v="0"/>
  </r>
  <r>
    <d v="2035-06-12T00:00:00"/>
    <x v="2"/>
    <n v="23.3"/>
    <n v="5.3"/>
    <n v="1.2348999999999999"/>
  </r>
  <r>
    <d v="2035-06-13T00:00:00"/>
    <x v="11"/>
    <n v="10.5"/>
    <n v="14.4"/>
    <n v="1.5120000000000002"/>
  </r>
  <r>
    <d v="2035-06-14T00:00:00"/>
    <x v="6"/>
    <n v="18.5"/>
    <n v="0"/>
    <n v="0"/>
  </r>
  <r>
    <d v="2035-06-15T00:00:00"/>
    <x v="10"/>
    <n v="20.2"/>
    <n v="5.4"/>
    <n v="1.0908"/>
  </r>
  <r>
    <d v="2035-06-16T00:00:00"/>
    <x v="19"/>
    <n v="29"/>
    <n v="4.2"/>
    <n v="1.2180000000000002"/>
  </r>
  <r>
    <d v="2035-06-17T00:00:00"/>
    <x v="11"/>
    <n v="12.1"/>
    <n v="18.100000000000001"/>
    <n v="2.1901000000000002"/>
  </r>
  <r>
    <d v="2035-06-18T00:00:00"/>
    <x v="9"/>
    <n v="14.1"/>
    <n v="5.6"/>
    <n v="0.78959999999999997"/>
  </r>
  <r>
    <d v="2035-06-19T00:00:00"/>
    <x v="6"/>
    <n v="19.5"/>
    <n v="2.7"/>
    <n v="0.52650000000000008"/>
  </r>
  <r>
    <d v="2035-06-20T00:00:00"/>
    <x v="23"/>
    <n v="28.7"/>
    <n v="0.3"/>
    <n v="8.6099999999999996E-2"/>
  </r>
  <r>
    <d v="2035-06-21T00:00:00"/>
    <x v="15"/>
    <n v="20.3"/>
    <n v="15"/>
    <n v="3.0449999999999999"/>
  </r>
  <r>
    <d v="2035-06-22T00:00:00"/>
    <x v="3"/>
    <n v="25.9"/>
    <n v="4.7"/>
    <n v="1.2173"/>
  </r>
  <r>
    <d v="2035-06-23T00:00:00"/>
    <x v="3"/>
    <n v="25.3"/>
    <n v="0"/>
    <n v="0"/>
  </r>
  <r>
    <d v="2035-06-24T00:00:00"/>
    <x v="16"/>
    <n v="22.8"/>
    <n v="0.6"/>
    <n v="0.1368"/>
  </r>
  <r>
    <d v="2035-06-25T00:00:00"/>
    <x v="18"/>
    <n v="28.4"/>
    <n v="2.2999999999999998"/>
    <n v="0.65319999999999989"/>
  </r>
  <r>
    <d v="2035-06-26T00:00:00"/>
    <x v="18"/>
    <n v="29.7"/>
    <n v="0"/>
    <n v="0"/>
  </r>
  <r>
    <d v="2035-06-27T00:00:00"/>
    <x v="11"/>
    <n v="11.7"/>
    <n v="6.4"/>
    <n v="0.74879999999999991"/>
  </r>
  <r>
    <d v="2035-06-28T00:00:00"/>
    <x v="18"/>
    <n v="12.8"/>
    <n v="6.9"/>
    <n v="0.8832000000000001"/>
  </r>
  <r>
    <d v="2035-06-29T00:00:00"/>
    <x v="6"/>
    <n v="11"/>
    <n v="0"/>
    <n v="0"/>
  </r>
  <r>
    <d v="2035-06-30T00:00:00"/>
    <x v="29"/>
    <n v="14.7"/>
    <n v="0.5"/>
    <n v="7.3499999999999996E-2"/>
  </r>
  <r>
    <d v="2035-07-01T00:00:00"/>
    <x v="22"/>
    <n v="13.2"/>
    <n v="2.5"/>
    <n v="0.33"/>
  </r>
  <r>
    <d v="2035-07-02T00:00:00"/>
    <x v="22"/>
    <n v="28"/>
    <n v="3.8"/>
    <n v="1.0639999999999998"/>
  </r>
  <r>
    <d v="2035-07-03T00:00:00"/>
    <x v="7"/>
    <n v="27.5"/>
    <n v="10.3"/>
    <n v="2.8325"/>
  </r>
  <r>
    <d v="2035-07-04T00:00:00"/>
    <x v="22"/>
    <n v="12.1"/>
    <n v="4.7"/>
    <n v="0.56869999999999998"/>
  </r>
  <r>
    <d v="2035-07-05T00:00:00"/>
    <x v="11"/>
    <n v="24.7"/>
    <n v="7.2"/>
    <n v="1.7784"/>
  </r>
  <r>
    <d v="2035-07-06T00:00:00"/>
    <x v="21"/>
    <n v="27.1"/>
    <n v="2.6"/>
    <n v="0.70460000000000012"/>
  </r>
  <r>
    <d v="2035-07-07T00:00:00"/>
    <x v="3"/>
    <n v="28.7"/>
    <n v="3"/>
    <n v="0.86099999999999999"/>
  </r>
  <r>
    <d v="2035-07-08T00:00:00"/>
    <x v="6"/>
    <n v="15"/>
    <n v="21.4"/>
    <n v="3.21"/>
  </r>
  <r>
    <d v="2035-07-09T00:00:00"/>
    <x v="7"/>
    <n v="11.6"/>
    <n v="3.7"/>
    <n v="0.42920000000000003"/>
  </r>
  <r>
    <d v="2035-07-10T00:00:00"/>
    <x v="6"/>
    <n v="13.1"/>
    <n v="0"/>
    <n v="0"/>
  </r>
  <r>
    <d v="2035-07-11T00:00:00"/>
    <x v="22"/>
    <n v="25.5"/>
    <n v="0"/>
    <n v="0"/>
  </r>
  <r>
    <d v="2035-07-12T00:00:00"/>
    <x v="24"/>
    <n v="19.399999999999999"/>
    <n v="0.7"/>
    <n v="0.13579999999999998"/>
  </r>
  <r>
    <d v="2035-07-13T00:00:00"/>
    <x v="3"/>
    <n v="27.3"/>
    <n v="2.6"/>
    <n v="0.70979999999999999"/>
  </r>
  <r>
    <d v="2035-07-14T00:00:00"/>
    <x v="6"/>
    <n v="21"/>
    <n v="27.8"/>
    <n v="5.838000000000001"/>
  </r>
  <r>
    <d v="2035-07-15T00:00:00"/>
    <x v="10"/>
    <n v="11.5"/>
    <n v="0"/>
    <n v="0"/>
  </r>
  <r>
    <d v="2035-07-16T00:00:00"/>
    <x v="17"/>
    <n v="13.6"/>
    <n v="2.7"/>
    <n v="0.36719999999999997"/>
  </r>
  <r>
    <d v="2035-07-17T00:00:00"/>
    <x v="4"/>
    <n v="17.8"/>
    <n v="0.3"/>
    <n v="5.3399999999999996E-2"/>
  </r>
  <r>
    <d v="2035-07-18T00:00:00"/>
    <x v="4"/>
    <n v="10.8"/>
    <n v="0"/>
    <n v="0"/>
  </r>
  <r>
    <d v="2035-07-19T00:00:00"/>
    <x v="6"/>
    <n v="23"/>
    <n v="3.3"/>
    <n v="0.7589999999999999"/>
  </r>
  <r>
    <d v="2035-07-20T00:00:00"/>
    <x v="7"/>
    <n v="14"/>
    <n v="18.100000000000001"/>
    <n v="2.5340000000000003"/>
  </r>
  <r>
    <d v="2035-07-21T00:00:00"/>
    <x v="22"/>
    <n v="10.7"/>
    <n v="0.4"/>
    <n v="4.2800000000000005E-2"/>
  </r>
  <r>
    <d v="2035-07-22T00:00:00"/>
    <x v="9"/>
    <n v="24.7"/>
    <n v="9.1"/>
    <n v="2.2477"/>
  </r>
  <r>
    <d v="2035-07-23T00:00:00"/>
    <x v="15"/>
    <n v="12.2"/>
    <n v="18.600000000000001"/>
    <n v="2.2692000000000001"/>
  </r>
  <r>
    <d v="2035-07-24T00:00:00"/>
    <x v="2"/>
    <n v="23.8"/>
    <n v="7.7"/>
    <n v="1.8326000000000002"/>
  </r>
  <r>
    <d v="2035-07-25T00:00:00"/>
    <x v="8"/>
    <n v="18.5"/>
    <n v="0"/>
    <n v="0"/>
  </r>
  <r>
    <d v="2035-07-26T00:00:00"/>
    <x v="13"/>
    <n v="24.6"/>
    <n v="0.4"/>
    <n v="9.8400000000000015E-2"/>
  </r>
  <r>
    <d v="2035-07-27T00:00:00"/>
    <x v="15"/>
    <n v="24.6"/>
    <n v="10.4"/>
    <n v="2.5584000000000002"/>
  </r>
  <r>
    <d v="2035-07-28T00:00:00"/>
    <x v="8"/>
    <n v="25.4"/>
    <n v="11.2"/>
    <n v="2.8447999999999998"/>
  </r>
  <r>
    <d v="2035-07-29T00:00:00"/>
    <x v="7"/>
    <n v="13.1"/>
    <n v="22.2"/>
    <n v="2.9081999999999999"/>
  </r>
  <r>
    <d v="2035-07-30T00:00:00"/>
    <x v="6"/>
    <n v="10.1"/>
    <n v="11.6"/>
    <n v="1.1716"/>
  </r>
  <r>
    <d v="2035-07-31T00:00:00"/>
    <x v="11"/>
    <n v="25"/>
    <n v="0"/>
    <n v="0"/>
  </r>
  <r>
    <d v="2035-08-01T00:00:00"/>
    <x v="14"/>
    <n v="20.9"/>
    <n v="11.4"/>
    <n v="2.3826000000000001"/>
  </r>
  <r>
    <d v="2035-08-02T00:00:00"/>
    <x v="10"/>
    <n v="27.6"/>
    <n v="2.5"/>
    <n v="0.69"/>
  </r>
  <r>
    <d v="2035-08-03T00:00:00"/>
    <x v="6"/>
    <n v="22.8"/>
    <n v="0"/>
    <n v="0"/>
  </r>
  <r>
    <d v="2035-08-04T00:00:00"/>
    <x v="5"/>
    <n v="12"/>
    <n v="0"/>
    <n v="0"/>
  </r>
  <r>
    <d v="2035-08-05T00:00:00"/>
    <x v="19"/>
    <n v="16.8"/>
    <n v="4.9000000000000004"/>
    <n v="0.82320000000000004"/>
  </r>
  <r>
    <d v="2035-08-06T00:00:00"/>
    <x v="16"/>
    <n v="12.9"/>
    <n v="3"/>
    <n v="0.38700000000000001"/>
  </r>
  <r>
    <d v="2035-08-07T00:00:00"/>
    <x v="6"/>
    <n v="18"/>
    <n v="13.6"/>
    <n v="2.448"/>
  </r>
  <r>
    <d v="2035-08-08T00:00:00"/>
    <x v="15"/>
    <n v="26"/>
    <n v="30.4"/>
    <n v="7.9039999999999999"/>
  </r>
  <r>
    <d v="2035-08-09T00:00:00"/>
    <x v="11"/>
    <n v="21.3"/>
    <n v="0"/>
    <n v="0"/>
  </r>
  <r>
    <d v="2035-08-10T00:00:00"/>
    <x v="7"/>
    <n v="15.7"/>
    <n v="5.9"/>
    <n v="0.9262999999999999"/>
  </r>
  <r>
    <d v="2035-08-11T00:00:00"/>
    <x v="6"/>
    <n v="19.100000000000001"/>
    <n v="0"/>
    <n v="0"/>
  </r>
  <r>
    <d v="2035-08-12T00:00:00"/>
    <x v="15"/>
    <n v="24.6"/>
    <n v="12.3"/>
    <n v="3.0258000000000003"/>
  </r>
  <r>
    <d v="2035-08-13T00:00:00"/>
    <x v="6"/>
    <n v="18.7"/>
    <n v="17.8"/>
    <n v="3.3286000000000002"/>
  </r>
  <r>
    <d v="2035-08-14T00:00:00"/>
    <x v="5"/>
    <n v="13.2"/>
    <n v="3.2"/>
    <n v="0.4224"/>
  </r>
  <r>
    <d v="2035-08-15T00:00:00"/>
    <x v="8"/>
    <n v="24.8"/>
    <n v="2.2999999999999998"/>
    <n v="0.57040000000000002"/>
  </r>
  <r>
    <d v="2035-08-16T00:00:00"/>
    <x v="11"/>
    <n v="19.3"/>
    <n v="1.8"/>
    <n v="0.34740000000000004"/>
  </r>
  <r>
    <d v="2035-08-17T00:00:00"/>
    <x v="14"/>
    <n v="22.7"/>
    <n v="0"/>
    <n v="0"/>
  </r>
  <r>
    <d v="2035-08-18T00:00:00"/>
    <x v="7"/>
    <n v="15.2"/>
    <n v="0"/>
    <n v="0"/>
  </r>
  <r>
    <d v="2035-08-19T00:00:00"/>
    <x v="19"/>
    <n v="28.6"/>
    <n v="0.2"/>
    <n v="5.7200000000000008E-2"/>
  </r>
  <r>
    <d v="2035-08-20T00:00:00"/>
    <x v="3"/>
    <n v="17.899999999999999"/>
    <n v="18.600000000000001"/>
    <n v="3.3294000000000001"/>
  </r>
  <r>
    <d v="2035-08-21T00:00:00"/>
    <x v="27"/>
    <n v="11.6"/>
    <n v="0"/>
    <n v="0"/>
  </r>
  <r>
    <d v="2035-08-22T00:00:00"/>
    <x v="17"/>
    <n v="19"/>
    <n v="2.2000000000000002"/>
    <n v="0.41800000000000004"/>
  </r>
  <r>
    <d v="2035-08-23T00:00:00"/>
    <x v="8"/>
    <n v="17.600000000000001"/>
    <n v="7.2"/>
    <n v="1.2672000000000001"/>
  </r>
  <r>
    <d v="2035-08-24T00:00:00"/>
    <x v="3"/>
    <n v="12.1"/>
    <n v="7.2"/>
    <n v="0.87120000000000009"/>
  </r>
  <r>
    <d v="2035-08-25T00:00:00"/>
    <x v="9"/>
    <n v="28.3"/>
    <n v="1.8"/>
    <n v="0.50940000000000007"/>
  </r>
  <r>
    <d v="2035-08-26T00:00:00"/>
    <x v="14"/>
    <n v="13.3"/>
    <n v="0"/>
    <n v="0"/>
  </r>
  <r>
    <d v="2035-08-27T00:00:00"/>
    <x v="7"/>
    <n v="21"/>
    <n v="4.2"/>
    <n v="0.88200000000000001"/>
  </r>
  <r>
    <d v="2035-08-28T00:00:00"/>
    <x v="6"/>
    <n v="12"/>
    <n v="2.2000000000000002"/>
    <n v="0.26400000000000001"/>
  </r>
  <r>
    <d v="2035-08-29T00:00:00"/>
    <x v="15"/>
    <n v="12.1"/>
    <n v="0"/>
    <n v="0"/>
  </r>
  <r>
    <d v="2035-08-30T00:00:00"/>
    <x v="7"/>
    <n v="15.8"/>
    <n v="17.2"/>
    <n v="2.7176"/>
  </r>
  <r>
    <d v="2035-08-31T00:00:00"/>
    <x v="8"/>
    <n v="25.7"/>
    <n v="5.9"/>
    <n v="1.5163"/>
  </r>
  <r>
    <d v="2035-09-01T00:00:00"/>
    <x v="6"/>
    <n v="20.5"/>
    <n v="26"/>
    <n v="5.33"/>
  </r>
  <r>
    <d v="2035-09-02T00:00:00"/>
    <x v="9"/>
    <n v="23.5"/>
    <n v="15.3"/>
    <n v="3.5954999999999999"/>
  </r>
  <r>
    <d v="2035-09-03T00:00:00"/>
    <x v="8"/>
    <n v="21.7"/>
    <n v="1.2"/>
    <n v="0.26039999999999996"/>
  </r>
  <r>
    <d v="2035-09-04T00:00:00"/>
    <x v="6"/>
    <n v="29.8"/>
    <n v="0"/>
    <n v="0"/>
  </r>
  <r>
    <d v="2035-09-05T00:00:00"/>
    <x v="3"/>
    <n v="27.1"/>
    <n v="0"/>
    <n v="0"/>
  </r>
  <r>
    <d v="2035-09-06T00:00:00"/>
    <x v="8"/>
    <n v="27.3"/>
    <n v="0"/>
    <n v="0"/>
  </r>
  <r>
    <d v="2035-09-07T00:00:00"/>
    <x v="15"/>
    <n v="15.5"/>
    <n v="27.6"/>
    <n v="4.2780000000000005"/>
  </r>
  <r>
    <d v="2035-09-08T00:00:00"/>
    <x v="9"/>
    <n v="27.9"/>
    <n v="5.0999999999999996"/>
    <n v="1.4228999999999998"/>
  </r>
  <r>
    <d v="2035-09-09T00:00:00"/>
    <x v="6"/>
    <n v="19.7"/>
    <n v="21.4"/>
    <n v="4.2157999999999998"/>
  </r>
  <r>
    <d v="2035-09-10T00:00:00"/>
    <x v="6"/>
    <n v="27.8"/>
    <n v="27.6"/>
    <n v="7.6728000000000005"/>
  </r>
  <r>
    <d v="2035-09-11T00:00:00"/>
    <x v="18"/>
    <n v="12.3"/>
    <n v="2.9"/>
    <n v="0.35670000000000002"/>
  </r>
  <r>
    <d v="2035-09-12T00:00:00"/>
    <x v="14"/>
    <n v="12.8"/>
    <n v="8.8000000000000007"/>
    <n v="1.1264000000000001"/>
  </r>
  <r>
    <d v="2035-09-13T00:00:00"/>
    <x v="6"/>
    <n v="15"/>
    <n v="0"/>
    <n v="0"/>
  </r>
  <r>
    <d v="2035-09-14T00:00:00"/>
    <x v="19"/>
    <n v="27.6"/>
    <n v="4.7"/>
    <n v="1.2971999999999999"/>
  </r>
  <r>
    <d v="2035-09-15T00:00:00"/>
    <x v="6"/>
    <n v="19.600000000000001"/>
    <n v="0"/>
    <n v="0"/>
  </r>
  <r>
    <d v="2035-09-16T00:00:00"/>
    <x v="26"/>
    <n v="16"/>
    <n v="0.4"/>
    <n v="6.4000000000000001E-2"/>
  </r>
  <r>
    <d v="2035-09-17T00:00:00"/>
    <x v="6"/>
    <n v="10.3"/>
    <n v="0"/>
    <n v="0"/>
  </r>
  <r>
    <d v="2035-09-18T00:00:00"/>
    <x v="14"/>
    <n v="20.2"/>
    <n v="13.9"/>
    <n v="2.8077999999999999"/>
  </r>
  <r>
    <d v="2035-09-19T00:00:00"/>
    <x v="22"/>
    <n v="26.4"/>
    <n v="6.8"/>
    <n v="1.7951999999999999"/>
  </r>
  <r>
    <d v="2035-09-20T00:00:00"/>
    <x v="13"/>
    <n v="20.6"/>
    <n v="0"/>
    <n v="0"/>
  </r>
  <r>
    <d v="2035-09-21T00:00:00"/>
    <x v="15"/>
    <n v="12.3"/>
    <n v="0.2"/>
    <n v="2.4600000000000004E-2"/>
  </r>
  <r>
    <d v="2035-09-22T00:00:00"/>
    <x v="15"/>
    <n v="11.2"/>
    <n v="36.200000000000003"/>
    <n v="4.0544000000000002"/>
  </r>
  <r>
    <d v="2035-09-23T00:00:00"/>
    <x v="4"/>
    <n v="22.6"/>
    <n v="2.4"/>
    <n v="0.54239999999999999"/>
  </r>
  <r>
    <d v="2035-09-24T00:00:00"/>
    <x v="21"/>
    <n v="16.399999999999999"/>
    <n v="0.1"/>
    <n v="1.6399999999999998E-2"/>
  </r>
  <r>
    <d v="2035-09-25T00:00:00"/>
    <x v="23"/>
    <n v="23.4"/>
    <n v="0"/>
    <n v="0"/>
  </r>
  <r>
    <d v="2035-09-26T00:00:00"/>
    <x v="19"/>
    <n v="20.2"/>
    <n v="0.3"/>
    <n v="6.0599999999999994E-2"/>
  </r>
  <r>
    <d v="2035-09-27T00:00:00"/>
    <x v="7"/>
    <n v="17.600000000000001"/>
    <n v="15"/>
    <n v="2.64"/>
  </r>
  <r>
    <d v="2035-09-28T00:00:00"/>
    <x v="6"/>
    <n v="21.7"/>
    <n v="33.299999999999997"/>
    <n v="7.2260999999999989"/>
  </r>
  <r>
    <d v="2035-09-29T00:00:00"/>
    <x v="6"/>
    <n v="18.399999999999999"/>
    <n v="19.3"/>
    <n v="3.5512000000000001"/>
  </r>
  <r>
    <d v="2035-09-30T00:00:00"/>
    <x v="3"/>
    <n v="20.100000000000001"/>
    <n v="15.4"/>
    <n v="3.0954000000000002"/>
  </r>
  <r>
    <d v="2035-10-01T00:00:00"/>
    <x v="14"/>
    <n v="16.5"/>
    <n v="14.7"/>
    <n v="2.4255"/>
  </r>
  <r>
    <d v="2035-10-02T00:00:00"/>
    <x v="6"/>
    <n v="12.3"/>
    <n v="30.2"/>
    <n v="3.7146000000000003"/>
  </r>
  <r>
    <d v="2035-10-03T00:00:00"/>
    <x v="6"/>
    <n v="29.6"/>
    <n v="42.8"/>
    <n v="12.668799999999999"/>
  </r>
  <r>
    <d v="2035-10-04T00:00:00"/>
    <x v="8"/>
    <n v="26.6"/>
    <n v="9.1999999999999993"/>
    <n v="2.4472"/>
  </r>
  <r>
    <d v="2035-10-05T00:00:00"/>
    <x v="14"/>
    <n v="26.7"/>
    <n v="4"/>
    <n v="1.0680000000000001"/>
  </r>
  <r>
    <d v="2035-10-06T00:00:00"/>
    <x v="11"/>
    <n v="23.6"/>
    <n v="0"/>
    <n v="0"/>
  </r>
  <r>
    <d v="2035-10-07T00:00:00"/>
    <x v="21"/>
    <n v="13.6"/>
    <n v="2.8"/>
    <n v="0.38079999999999997"/>
  </r>
  <r>
    <d v="2035-10-08T00:00:00"/>
    <x v="1"/>
    <n v="13.8"/>
    <n v="6.5"/>
    <n v="0.89700000000000002"/>
  </r>
  <r>
    <d v="2035-10-09T00:00:00"/>
    <x v="2"/>
    <n v="12.3"/>
    <n v="0"/>
    <n v="0"/>
  </r>
  <r>
    <d v="2035-10-10T00:00:00"/>
    <x v="3"/>
    <n v="12.3"/>
    <n v="0"/>
    <n v="0"/>
  </r>
  <r>
    <d v="2035-10-11T00:00:00"/>
    <x v="14"/>
    <n v="22.7"/>
    <n v="10.3"/>
    <n v="2.3380999999999998"/>
  </r>
  <r>
    <d v="2035-10-12T00:00:00"/>
    <x v="6"/>
    <n v="19"/>
    <n v="0"/>
    <n v="0"/>
  </r>
  <r>
    <d v="2035-10-13T00:00:00"/>
    <x v="4"/>
    <n v="23.4"/>
    <n v="0"/>
    <n v="0"/>
  </r>
  <r>
    <d v="2035-10-14T00:00:00"/>
    <x v="11"/>
    <n v="28.2"/>
    <n v="0"/>
    <n v="0"/>
  </r>
  <r>
    <d v="2035-10-15T00:00:00"/>
    <x v="11"/>
    <n v="20.100000000000001"/>
    <n v="9.6999999999999993"/>
    <n v="1.9497"/>
  </r>
  <r>
    <d v="2035-10-16T00:00:00"/>
    <x v="13"/>
    <n v="29.6"/>
    <n v="0"/>
    <n v="0"/>
  </r>
  <r>
    <d v="2035-10-17T00:00:00"/>
    <x v="3"/>
    <n v="25.8"/>
    <n v="0"/>
    <n v="0"/>
  </r>
  <r>
    <d v="2035-10-18T00:00:00"/>
    <x v="6"/>
    <n v="19.600000000000001"/>
    <n v="18.5"/>
    <n v="3.6260000000000003"/>
  </r>
  <r>
    <d v="2035-10-19T00:00:00"/>
    <x v="15"/>
    <n v="21.5"/>
    <n v="3"/>
    <n v="0.64500000000000002"/>
  </r>
  <r>
    <d v="2035-10-20T00:00:00"/>
    <x v="11"/>
    <n v="24.2"/>
    <n v="17.399999999999999"/>
    <n v="4.210799999999999"/>
  </r>
  <r>
    <d v="2035-10-21T00:00:00"/>
    <x v="23"/>
    <n v="12"/>
    <n v="0"/>
    <n v="0"/>
  </r>
  <r>
    <d v="2035-10-22T00:00:00"/>
    <x v="29"/>
    <n v="23"/>
    <n v="0"/>
    <n v="0"/>
  </r>
  <r>
    <d v="2035-10-23T00:00:00"/>
    <x v="15"/>
    <n v="19.8"/>
    <n v="29.2"/>
    <n v="5.7816000000000001"/>
  </r>
  <r>
    <d v="2035-10-24T00:00:00"/>
    <x v="1"/>
    <n v="14.9"/>
    <n v="0.8"/>
    <n v="0.11920000000000001"/>
  </r>
  <r>
    <d v="2035-10-25T00:00:00"/>
    <x v="11"/>
    <n v="17.899999999999999"/>
    <n v="10.3"/>
    <n v="1.8437000000000001"/>
  </r>
  <r>
    <d v="2035-10-26T00:00:00"/>
    <x v="3"/>
    <n v="26"/>
    <n v="0"/>
    <n v="0"/>
  </r>
  <r>
    <d v="2035-10-27T00:00:00"/>
    <x v="8"/>
    <n v="21.5"/>
    <n v="9.3000000000000007"/>
    <n v="1.9995000000000003"/>
  </r>
  <r>
    <d v="2035-10-28T00:00:00"/>
    <x v="15"/>
    <n v="29.9"/>
    <n v="2.4"/>
    <n v="0.7175999999999999"/>
  </r>
  <r>
    <d v="2035-10-29T00:00:00"/>
    <x v="6"/>
    <n v="12.3"/>
    <n v="35.1"/>
    <n v="4.3173000000000004"/>
  </r>
  <r>
    <d v="2035-10-30T00:00:00"/>
    <x v="13"/>
    <n v="21.7"/>
    <n v="3.9"/>
    <n v="0.84629999999999994"/>
  </r>
  <r>
    <d v="2035-10-31T00:00:00"/>
    <x v="6"/>
    <n v="10.7"/>
    <n v="0"/>
    <n v="0"/>
  </r>
  <r>
    <d v="2035-11-01T00:00:00"/>
    <x v="1"/>
    <n v="21.5"/>
    <n v="0"/>
    <n v="0"/>
  </r>
  <r>
    <d v="2035-11-02T00:00:00"/>
    <x v="6"/>
    <n v="26"/>
    <n v="33.799999999999997"/>
    <n v="8.7880000000000003"/>
  </r>
  <r>
    <d v="2035-11-03T00:00:00"/>
    <x v="11"/>
    <n v="24.4"/>
    <n v="15.4"/>
    <n v="3.7576000000000001"/>
  </r>
  <r>
    <d v="2035-11-04T00:00:00"/>
    <x v="1"/>
    <n v="20.8"/>
    <n v="0"/>
    <n v="0"/>
  </r>
  <r>
    <d v="2035-11-05T00:00:00"/>
    <x v="9"/>
    <n v="18.2"/>
    <n v="15.7"/>
    <n v="2.8573999999999997"/>
  </r>
  <r>
    <d v="2035-11-06T00:00:00"/>
    <x v="13"/>
    <n v="25.6"/>
    <n v="7"/>
    <n v="1.7920000000000003"/>
  </r>
  <r>
    <d v="2035-11-07T00:00:00"/>
    <x v="7"/>
    <n v="25.2"/>
    <n v="0"/>
    <n v="0"/>
  </r>
  <r>
    <d v="2035-11-08T00:00:00"/>
    <x v="8"/>
    <n v="19.5"/>
    <n v="5.3"/>
    <n v="1.0334999999999999"/>
  </r>
  <r>
    <d v="2035-11-09T00:00:00"/>
    <x v="20"/>
    <n v="15.2"/>
    <n v="2.1"/>
    <n v="0.31919999999999998"/>
  </r>
  <r>
    <d v="2035-11-10T00:00:00"/>
    <x v="11"/>
    <n v="21.3"/>
    <n v="11.4"/>
    <n v="2.4282000000000004"/>
  </r>
  <r>
    <d v="2035-11-11T00:00:00"/>
    <x v="11"/>
    <n v="21.8"/>
    <n v="17.399999999999999"/>
    <n v="3.7932000000000001"/>
  </r>
  <r>
    <d v="2035-11-12T00:00:00"/>
    <x v="12"/>
    <n v="27.7"/>
    <n v="0.5"/>
    <n v="0.13849999999999998"/>
  </r>
  <r>
    <d v="2035-11-13T00:00:00"/>
    <x v="6"/>
    <n v="28.5"/>
    <n v="46"/>
    <n v="13.11"/>
  </r>
  <r>
    <d v="2035-11-14T00:00:00"/>
    <x v="23"/>
    <n v="25.7"/>
    <n v="0"/>
    <n v="0"/>
  </r>
  <r>
    <d v="2035-11-15T00:00:00"/>
    <x v="6"/>
    <n v="18"/>
    <n v="0.5"/>
    <n v="0.09"/>
  </r>
  <r>
    <d v="2035-11-16T00:00:00"/>
    <x v="2"/>
    <n v="29.5"/>
    <n v="0"/>
    <n v="0"/>
  </r>
  <r>
    <d v="2035-11-17T00:00:00"/>
    <x v="14"/>
    <n v="21"/>
    <n v="10.3"/>
    <n v="2.1630000000000003"/>
  </r>
  <r>
    <d v="2035-11-18T00:00:00"/>
    <x v="16"/>
    <n v="11.4"/>
    <n v="3.2"/>
    <n v="0.36480000000000001"/>
  </r>
  <r>
    <d v="2035-11-19T00:00:00"/>
    <x v="6"/>
    <n v="12.7"/>
    <n v="0"/>
    <n v="0"/>
  </r>
  <r>
    <d v="2035-11-20T00:00:00"/>
    <x v="1"/>
    <n v="14.1"/>
    <n v="6.2"/>
    <n v="0.87419999999999998"/>
  </r>
  <r>
    <d v="2035-11-21T00:00:00"/>
    <x v="6"/>
    <n v="29.5"/>
    <n v="29.9"/>
    <n v="8.8204999999999991"/>
  </r>
  <r>
    <d v="2035-11-22T00:00:00"/>
    <x v="18"/>
    <n v="18.399999999999999"/>
    <n v="0"/>
    <n v="0"/>
  </r>
  <r>
    <d v="2035-11-23T00:00:00"/>
    <x v="6"/>
    <n v="29.6"/>
    <n v="43.9"/>
    <n v="12.994400000000001"/>
  </r>
  <r>
    <d v="2035-11-24T00:00:00"/>
    <x v="11"/>
    <n v="22.6"/>
    <n v="14.6"/>
    <n v="3.2996000000000003"/>
  </r>
  <r>
    <d v="2035-11-25T00:00:00"/>
    <x v="10"/>
    <n v="13.2"/>
    <n v="6.7"/>
    <n v="0.88439999999999996"/>
  </r>
  <r>
    <d v="2035-11-26T00:00:00"/>
    <x v="2"/>
    <n v="10.4"/>
    <n v="8.5"/>
    <n v="0.88400000000000001"/>
  </r>
  <r>
    <d v="2035-11-27T00:00:00"/>
    <x v="9"/>
    <n v="16.899999999999999"/>
    <n v="16.399999999999999"/>
    <n v="2.7715999999999998"/>
  </r>
  <r>
    <d v="2035-11-28T00:00:00"/>
    <x v="11"/>
    <n v="19.399999999999999"/>
    <n v="0"/>
    <n v="0"/>
  </r>
  <r>
    <d v="2035-11-29T00:00:00"/>
    <x v="20"/>
    <n v="16.899999999999999"/>
    <n v="1"/>
    <n v="0.16899999999999998"/>
  </r>
  <r>
    <d v="2035-11-30T00:00:00"/>
    <x v="6"/>
    <n v="18.399999999999999"/>
    <n v="0"/>
    <n v="0"/>
  </r>
  <r>
    <d v="2035-12-01T00:00:00"/>
    <x v="11"/>
    <n v="13.4"/>
    <n v="12.8"/>
    <n v="1.7152000000000001"/>
  </r>
  <r>
    <d v="2035-12-02T00:00:00"/>
    <x v="3"/>
    <n v="28.8"/>
    <n v="0"/>
    <n v="0"/>
  </r>
  <r>
    <d v="2035-12-03T00:00:00"/>
    <x v="9"/>
    <n v="19.5"/>
    <n v="1.3"/>
    <n v="0.2535"/>
  </r>
  <r>
    <d v="2035-12-04T00:00:00"/>
    <x v="7"/>
    <n v="29"/>
    <n v="14"/>
    <n v="4.0599999999999996"/>
  </r>
  <r>
    <d v="2035-12-05T00:00:00"/>
    <x v="6"/>
    <n v="29.6"/>
    <n v="28.7"/>
    <n v="8.4952000000000005"/>
  </r>
  <r>
    <d v="2035-12-06T00:00:00"/>
    <x v="2"/>
    <n v="26.5"/>
    <n v="0"/>
    <n v="0"/>
  </r>
  <r>
    <d v="2035-12-07T00:00:00"/>
    <x v="14"/>
    <n v="24.8"/>
    <n v="12.1"/>
    <n v="3.0007999999999999"/>
  </r>
  <r>
    <d v="2035-12-08T00:00:00"/>
    <x v="6"/>
    <n v="20"/>
    <n v="14.7"/>
    <n v="2.94"/>
  </r>
  <r>
    <d v="2035-12-09T00:00:00"/>
    <x v="15"/>
    <n v="16.899999999999999"/>
    <n v="38.299999999999997"/>
    <n v="6.4726999999999988"/>
  </r>
  <r>
    <d v="2035-12-10T00:00:00"/>
    <x v="6"/>
    <n v="11.5"/>
    <n v="24.7"/>
    <n v="2.8405"/>
  </r>
  <r>
    <d v="2035-12-11T00:00:00"/>
    <x v="9"/>
    <n v="11.4"/>
    <n v="0"/>
    <n v="0"/>
  </r>
  <r>
    <d v="2035-12-12T00:00:00"/>
    <x v="2"/>
    <n v="28.5"/>
    <n v="0"/>
    <n v="0"/>
  </r>
  <r>
    <d v="2035-12-13T00:00:00"/>
    <x v="18"/>
    <n v="27.9"/>
    <n v="0.7"/>
    <n v="0.19529999999999997"/>
  </r>
  <r>
    <d v="2035-12-14T00:00:00"/>
    <x v="3"/>
    <n v="26.7"/>
    <n v="15.5"/>
    <n v="4.1384999999999996"/>
  </r>
  <r>
    <d v="2035-12-15T00:00:00"/>
    <x v="14"/>
    <n v="28.3"/>
    <n v="6.8"/>
    <n v="1.9243999999999999"/>
  </r>
  <r>
    <d v="2035-12-16T00:00:00"/>
    <x v="6"/>
    <n v="28.9"/>
    <n v="0"/>
    <n v="0"/>
  </r>
  <r>
    <d v="2035-12-17T00:00:00"/>
    <x v="16"/>
    <n v="21.6"/>
    <n v="4"/>
    <n v="0.8640000000000001"/>
  </r>
  <r>
    <d v="2035-12-18T00:00:00"/>
    <x v="19"/>
    <n v="16.5"/>
    <n v="4.2"/>
    <n v="0.69299999999999995"/>
  </r>
  <r>
    <d v="2035-12-19T00:00:00"/>
    <x v="9"/>
    <n v="24.6"/>
    <n v="10.6"/>
    <n v="2.6075999999999997"/>
  </r>
  <r>
    <d v="2035-12-20T00:00:00"/>
    <x v="6"/>
    <n v="28.9"/>
    <n v="40.799999999999997"/>
    <n v="11.791199999999998"/>
  </r>
  <r>
    <d v="2035-12-21T00:00:00"/>
    <x v="6"/>
    <n v="22.1"/>
    <n v="10"/>
    <n v="2.21"/>
  </r>
  <r>
    <d v="2035-12-22T00:00:00"/>
    <x v="17"/>
    <n v="29.3"/>
    <n v="0"/>
    <n v="0"/>
  </r>
  <r>
    <d v="2035-12-23T00:00:00"/>
    <x v="14"/>
    <n v="18.8"/>
    <n v="4.7"/>
    <n v="0.88360000000000016"/>
  </r>
  <r>
    <d v="2035-12-24T00:00:00"/>
    <x v="15"/>
    <n v="26.5"/>
    <n v="7.3"/>
    <n v="1.9344999999999999"/>
  </r>
  <r>
    <d v="2035-12-25T00:00:00"/>
    <x v="7"/>
    <n v="24"/>
    <n v="0"/>
    <n v="0"/>
  </r>
  <r>
    <d v="2035-12-26T00:00:00"/>
    <x v="15"/>
    <n v="21"/>
    <n v="12.2"/>
    <n v="2.5619999999999998"/>
  </r>
  <r>
    <d v="2035-12-27T00:00:00"/>
    <x v="13"/>
    <n v="28.1"/>
    <n v="6.7"/>
    <n v="1.8827"/>
  </r>
  <r>
    <d v="2035-12-28T00:00:00"/>
    <x v="10"/>
    <n v="23.3"/>
    <n v="4.8"/>
    <n v="1.1184000000000001"/>
  </r>
  <r>
    <d v="2035-12-29T00:00:00"/>
    <x v="13"/>
    <n v="14.3"/>
    <n v="1.5"/>
    <n v="0.21450000000000002"/>
  </r>
  <r>
    <d v="2035-12-30T00:00:00"/>
    <x v="21"/>
    <n v="12.6"/>
    <n v="1.1000000000000001"/>
    <n v="0.1386"/>
  </r>
  <r>
    <d v="2035-12-31T00:00:00"/>
    <x v="15"/>
    <n v="18.100000000000001"/>
    <n v="0"/>
    <n v="0"/>
  </r>
  <r>
    <d v="2036-01-01T00:00:00"/>
    <x v="11"/>
    <n v="19"/>
    <n v="11"/>
    <n v="2.09"/>
  </r>
  <r>
    <d v="2036-01-02T00:00:00"/>
    <x v="10"/>
    <n v="13.1"/>
    <n v="0"/>
    <n v="0"/>
  </r>
  <r>
    <d v="2036-01-03T00:00:00"/>
    <x v="9"/>
    <n v="17.3"/>
    <n v="1.1000000000000001"/>
    <n v="0.19030000000000002"/>
  </r>
  <r>
    <d v="2036-01-04T00:00:00"/>
    <x v="13"/>
    <n v="23.7"/>
    <n v="5.9"/>
    <n v="1.3983000000000001"/>
  </r>
  <r>
    <d v="2036-01-05T00:00:00"/>
    <x v="29"/>
    <n v="26.3"/>
    <n v="0"/>
    <n v="0"/>
  </r>
  <r>
    <d v="2036-01-06T00:00:00"/>
    <x v="11"/>
    <n v="16.399999999999999"/>
    <n v="0"/>
    <n v="0"/>
  </r>
  <r>
    <d v="2036-01-07T00:00:00"/>
    <x v="5"/>
    <n v="13"/>
    <n v="0"/>
    <n v="0"/>
  </r>
  <r>
    <d v="2036-01-08T00:00:00"/>
    <x v="7"/>
    <n v="28.6"/>
    <n v="1"/>
    <n v="0.28600000000000003"/>
  </r>
  <r>
    <d v="2036-01-09T00:00:00"/>
    <x v="6"/>
    <n v="11.1"/>
    <n v="2.4"/>
    <n v="0.26639999999999997"/>
  </r>
  <r>
    <d v="2036-01-10T00:00:00"/>
    <x v="20"/>
    <n v="12.9"/>
    <n v="2.9"/>
    <n v="0.37409999999999999"/>
  </r>
  <r>
    <d v="2036-01-11T00:00:00"/>
    <x v="26"/>
    <n v="28.4"/>
    <n v="0.9"/>
    <n v="0.25559999999999999"/>
  </r>
  <r>
    <d v="2036-01-12T00:00:00"/>
    <x v="15"/>
    <n v="21.8"/>
    <n v="3.4"/>
    <n v="0.74120000000000008"/>
  </r>
  <r>
    <d v="2036-01-13T00:00:00"/>
    <x v="2"/>
    <n v="20.8"/>
    <n v="11.8"/>
    <n v="2.4544000000000001"/>
  </r>
  <r>
    <d v="2036-01-14T00:00:00"/>
    <x v="9"/>
    <n v="17.399999999999999"/>
    <n v="0"/>
    <n v="0"/>
  </r>
  <r>
    <d v="2036-01-15T00:00:00"/>
    <x v="2"/>
    <n v="24.8"/>
    <n v="0"/>
    <n v="0"/>
  </r>
  <r>
    <d v="2036-01-16T00:00:00"/>
    <x v="5"/>
    <n v="12.9"/>
    <n v="0"/>
    <n v="0"/>
  </r>
  <r>
    <d v="2036-01-17T00:00:00"/>
    <x v="13"/>
    <n v="25.9"/>
    <n v="0"/>
    <n v="0"/>
  </r>
  <r>
    <d v="2036-01-18T00:00:00"/>
    <x v="6"/>
    <n v="11.5"/>
    <n v="23.2"/>
    <n v="2.6680000000000001"/>
  </r>
  <r>
    <d v="2036-01-19T00:00:00"/>
    <x v="16"/>
    <n v="25.5"/>
    <n v="0"/>
    <n v="0"/>
  </r>
  <r>
    <d v="2036-01-20T00:00:00"/>
    <x v="29"/>
    <n v="22.6"/>
    <n v="2.2000000000000002"/>
    <n v="0.49720000000000009"/>
  </r>
  <r>
    <d v="2036-01-21T00:00:00"/>
    <x v="6"/>
    <n v="14.2"/>
    <n v="0"/>
    <n v="0"/>
  </r>
  <r>
    <d v="2036-01-22T00:00:00"/>
    <x v="9"/>
    <n v="26.9"/>
    <n v="9.1999999999999993"/>
    <n v="2.4747999999999997"/>
  </r>
  <r>
    <d v="2036-01-23T00:00:00"/>
    <x v="15"/>
    <n v="30"/>
    <n v="32.299999999999997"/>
    <n v="9.69"/>
  </r>
  <r>
    <d v="2036-01-24T00:00:00"/>
    <x v="23"/>
    <n v="16.2"/>
    <n v="5.2"/>
    <n v="0.84239999999999993"/>
  </r>
  <r>
    <d v="2036-01-25T00:00:00"/>
    <x v="7"/>
    <n v="12.2"/>
    <n v="0"/>
    <n v="0"/>
  </r>
  <r>
    <d v="2036-01-26T00:00:00"/>
    <x v="11"/>
    <n v="28.7"/>
    <n v="0.5"/>
    <n v="0.14349999999999999"/>
  </r>
  <r>
    <d v="2036-01-27T00:00:00"/>
    <x v="2"/>
    <n v="23.3"/>
    <n v="11.1"/>
    <n v="2.5863"/>
  </r>
  <r>
    <d v="2036-01-28T00:00:00"/>
    <x v="11"/>
    <n v="30"/>
    <n v="16.100000000000001"/>
    <n v="4.830000000000001"/>
  </r>
  <r>
    <d v="2036-01-29T00:00:00"/>
    <x v="14"/>
    <n v="16"/>
    <n v="9.8000000000000007"/>
    <n v="1.5680000000000001"/>
  </r>
  <r>
    <d v="2036-01-30T00:00:00"/>
    <x v="16"/>
    <n v="21.6"/>
    <n v="3.4"/>
    <n v="0.73439999999999994"/>
  </r>
  <r>
    <d v="2036-01-31T00:00:00"/>
    <x v="15"/>
    <n v="27.9"/>
    <n v="4.8"/>
    <n v="1.3391999999999999"/>
  </r>
  <r>
    <d v="2036-02-01T00:00:00"/>
    <x v="9"/>
    <n v="17.5"/>
    <n v="14.7"/>
    <n v="2.5724999999999998"/>
  </r>
  <r>
    <d v="2036-02-02T00:00:00"/>
    <x v="3"/>
    <n v="20.7"/>
    <n v="0"/>
    <n v="0"/>
  </r>
  <r>
    <d v="2036-02-03T00:00:00"/>
    <x v="6"/>
    <n v="10.8"/>
    <n v="36.4"/>
    <n v="3.9312"/>
  </r>
  <r>
    <d v="2036-02-04T00:00:00"/>
    <x v="15"/>
    <n v="27.6"/>
    <n v="32.799999999999997"/>
    <n v="9.0527999999999995"/>
  </r>
  <r>
    <d v="2036-02-05T00:00:00"/>
    <x v="7"/>
    <n v="10.8"/>
    <n v="11.6"/>
    <n v="1.2527999999999999"/>
  </r>
  <r>
    <d v="2036-02-06T00:00:00"/>
    <x v="13"/>
    <n v="13.7"/>
    <n v="0"/>
    <n v="0"/>
  </r>
  <r>
    <d v="2036-02-07T00:00:00"/>
    <x v="14"/>
    <n v="19.5"/>
    <n v="0"/>
    <n v="0"/>
  </r>
  <r>
    <d v="2036-02-08T00:00:00"/>
    <x v="5"/>
    <n v="21.6"/>
    <n v="11.6"/>
    <n v="2.5055999999999998"/>
  </r>
  <r>
    <d v="2036-02-09T00:00:00"/>
    <x v="13"/>
    <n v="21.6"/>
    <n v="2.7"/>
    <n v="0.58320000000000005"/>
  </r>
  <r>
    <d v="2036-02-10T00:00:00"/>
    <x v="20"/>
    <n v="16.100000000000001"/>
    <n v="0"/>
    <n v="0"/>
  </r>
  <r>
    <d v="2036-02-11T00:00:00"/>
    <x v="2"/>
    <n v="29.4"/>
    <n v="12.5"/>
    <n v="3.6749999999999998"/>
  </r>
  <r>
    <d v="2036-02-12T00:00:00"/>
    <x v="22"/>
    <n v="17.8"/>
    <n v="5.9"/>
    <n v="1.0502"/>
  </r>
  <r>
    <d v="2036-02-13T00:00:00"/>
    <x v="15"/>
    <n v="26.1"/>
    <n v="14.8"/>
    <n v="3.8628000000000005"/>
  </r>
  <r>
    <d v="2036-02-14T00:00:00"/>
    <x v="6"/>
    <n v="13.8"/>
    <n v="0"/>
    <n v="0"/>
  </r>
  <r>
    <d v="2036-02-15T00:00:00"/>
    <x v="8"/>
    <n v="16.100000000000001"/>
    <n v="6.2"/>
    <n v="0.99820000000000009"/>
  </r>
  <r>
    <d v="2036-02-16T00:00:00"/>
    <x v="6"/>
    <n v="23.2"/>
    <n v="45.8"/>
    <n v="10.625599999999999"/>
  </r>
  <r>
    <d v="2036-02-17T00:00:00"/>
    <x v="8"/>
    <n v="18.899999999999999"/>
    <n v="0"/>
    <n v="0"/>
  </r>
  <r>
    <d v="2036-02-18T00:00:00"/>
    <x v="15"/>
    <n v="28.9"/>
    <n v="34.1"/>
    <n v="9.8549000000000007"/>
  </r>
  <r>
    <d v="2036-02-19T00:00:00"/>
    <x v="6"/>
    <n v="19.3"/>
    <n v="49.6"/>
    <n v="9.5728000000000009"/>
  </r>
  <r>
    <d v="2036-02-20T00:00:00"/>
    <x v="14"/>
    <n v="23.9"/>
    <n v="11.7"/>
    <n v="2.7962999999999996"/>
  </r>
  <r>
    <d v="2036-02-21T00:00:00"/>
    <x v="9"/>
    <n v="28.6"/>
    <n v="11.5"/>
    <n v="3.2890000000000001"/>
  </r>
  <r>
    <d v="2036-02-22T00:00:00"/>
    <x v="22"/>
    <n v="14.5"/>
    <n v="0.3"/>
    <n v="4.3499999999999997E-2"/>
  </r>
  <r>
    <d v="2036-02-23T00:00:00"/>
    <x v="6"/>
    <n v="13"/>
    <n v="0"/>
    <n v="0"/>
  </r>
  <r>
    <d v="2036-02-24T00:00:00"/>
    <x v="15"/>
    <n v="16.2"/>
    <n v="9.1999999999999993"/>
    <n v="1.4903999999999999"/>
  </r>
  <r>
    <d v="2036-02-25T00:00:00"/>
    <x v="11"/>
    <n v="27.1"/>
    <n v="6.3"/>
    <n v="1.7073000000000003"/>
  </r>
  <r>
    <d v="2036-02-26T00:00:00"/>
    <x v="6"/>
    <n v="15.6"/>
    <n v="28"/>
    <n v="4.3680000000000003"/>
  </r>
  <r>
    <d v="2036-02-27T00:00:00"/>
    <x v="22"/>
    <n v="28.9"/>
    <n v="6.8"/>
    <n v="1.9651999999999998"/>
  </r>
  <r>
    <d v="2036-02-28T00:00:00"/>
    <x v="2"/>
    <n v="13.8"/>
    <n v="11.9"/>
    <n v="1.6422000000000003"/>
  </r>
  <r>
    <d v="2036-02-29T00:00:00"/>
    <x v="2"/>
    <n v="17.8"/>
    <n v="1.5"/>
    <n v="0.26700000000000002"/>
  </r>
  <r>
    <d v="2036-03-01T00:00:00"/>
    <x v="18"/>
    <n v="25.1"/>
    <n v="0"/>
    <n v="0"/>
  </r>
  <r>
    <d v="2036-03-02T00:00:00"/>
    <x v="18"/>
    <n v="29.5"/>
    <n v="0"/>
    <n v="0"/>
  </r>
  <r>
    <d v="2036-03-03T00:00:00"/>
    <x v="22"/>
    <n v="16.100000000000001"/>
    <n v="7.1"/>
    <n v="1.1431"/>
  </r>
  <r>
    <d v="2036-03-04T00:00:00"/>
    <x v="5"/>
    <n v="18"/>
    <n v="12"/>
    <n v="2.16"/>
  </r>
  <r>
    <d v="2036-03-05T00:00:00"/>
    <x v="6"/>
    <n v="12.2"/>
    <n v="26.8"/>
    <n v="3.2695999999999996"/>
  </r>
  <r>
    <d v="2036-03-06T00:00:00"/>
    <x v="10"/>
    <n v="20.7"/>
    <n v="4.7"/>
    <n v="0.9729000000000001"/>
  </r>
  <r>
    <d v="2036-03-07T00:00:00"/>
    <x v="6"/>
    <n v="20.100000000000001"/>
    <n v="47.4"/>
    <n v="9.5274000000000001"/>
  </r>
  <r>
    <d v="2036-03-08T00:00:00"/>
    <x v="6"/>
    <n v="14.9"/>
    <n v="43.8"/>
    <n v="6.5262000000000002"/>
  </r>
  <r>
    <d v="2036-03-09T00:00:00"/>
    <x v="6"/>
    <n v="19"/>
    <n v="0"/>
    <n v="0"/>
  </r>
  <r>
    <d v="2036-03-10T00:00:00"/>
    <x v="2"/>
    <n v="12.5"/>
    <n v="0"/>
    <n v="0"/>
  </r>
  <r>
    <d v="2036-03-11T00:00:00"/>
    <x v="9"/>
    <n v="15.2"/>
    <n v="13.9"/>
    <n v="2.1128"/>
  </r>
  <r>
    <d v="2036-03-12T00:00:00"/>
    <x v="15"/>
    <n v="29.2"/>
    <n v="26.8"/>
    <n v="7.8255999999999997"/>
  </r>
  <r>
    <d v="2036-03-13T00:00:00"/>
    <x v="2"/>
    <n v="13.9"/>
    <n v="1.1000000000000001"/>
    <n v="0.15290000000000001"/>
  </r>
  <r>
    <d v="2036-03-14T00:00:00"/>
    <x v="11"/>
    <n v="11.4"/>
    <n v="0"/>
    <n v="0"/>
  </r>
  <r>
    <d v="2036-03-15T00:00:00"/>
    <x v="5"/>
    <n v="15.8"/>
    <n v="7"/>
    <n v="1.1060000000000001"/>
  </r>
  <r>
    <d v="2036-03-16T00:00:00"/>
    <x v="6"/>
    <n v="10.199999999999999"/>
    <n v="43.3"/>
    <n v="4.4165999999999999"/>
  </r>
  <r>
    <d v="2036-03-17T00:00:00"/>
    <x v="9"/>
    <n v="19.600000000000001"/>
    <n v="8.9"/>
    <n v="1.7444000000000002"/>
  </r>
  <r>
    <d v="2036-03-18T00:00:00"/>
    <x v="2"/>
    <n v="15.5"/>
    <n v="10.1"/>
    <n v="1.5654999999999999"/>
  </r>
  <r>
    <d v="2036-03-19T00:00:00"/>
    <x v="11"/>
    <n v="19.899999999999999"/>
    <n v="16.2"/>
    <n v="3.2237999999999993"/>
  </r>
  <r>
    <d v="2036-03-20T00:00:00"/>
    <x v="14"/>
    <n v="10.7"/>
    <n v="2.8"/>
    <n v="0.29959999999999998"/>
  </r>
  <r>
    <d v="2036-03-21T00:00:00"/>
    <x v="22"/>
    <n v="11.5"/>
    <n v="5.9"/>
    <n v="0.6785000000000001"/>
  </r>
  <r>
    <d v="2036-03-22T00:00:00"/>
    <x v="10"/>
    <n v="28.4"/>
    <n v="1"/>
    <n v="0.28399999999999997"/>
  </r>
  <r>
    <d v="2036-03-23T00:00:00"/>
    <x v="15"/>
    <n v="22.3"/>
    <n v="5.0999999999999996"/>
    <n v="1.1373"/>
  </r>
  <r>
    <d v="2036-03-24T00:00:00"/>
    <x v="9"/>
    <n v="28.7"/>
    <n v="11.5"/>
    <n v="3.3005"/>
  </r>
  <r>
    <d v="2036-03-25T00:00:00"/>
    <x v="2"/>
    <n v="19.100000000000001"/>
    <n v="0"/>
    <n v="0"/>
  </r>
  <r>
    <d v="2036-03-26T00:00:00"/>
    <x v="6"/>
    <n v="10.199999999999999"/>
    <n v="7.6"/>
    <n v="0.7752"/>
  </r>
  <r>
    <d v="2036-03-27T00:00:00"/>
    <x v="6"/>
    <n v="18.399999999999999"/>
    <n v="0"/>
    <n v="0"/>
  </r>
  <r>
    <d v="2036-03-28T00:00:00"/>
    <x v="15"/>
    <n v="29.3"/>
    <n v="0"/>
    <n v="0"/>
  </r>
  <r>
    <d v="2036-03-29T00:00:00"/>
    <x v="13"/>
    <n v="26.7"/>
    <n v="5.7"/>
    <n v="1.5219"/>
  </r>
  <r>
    <d v="2036-03-30T00:00:00"/>
    <x v="4"/>
    <n v="22.2"/>
    <n v="0.9"/>
    <n v="0.19980000000000001"/>
  </r>
  <r>
    <d v="2036-03-31T00:00:00"/>
    <x v="9"/>
    <n v="25.5"/>
    <n v="5.8"/>
    <n v="1.4790000000000001"/>
  </r>
  <r>
    <d v="2036-04-01T00:00:00"/>
    <x v="15"/>
    <n v="23.5"/>
    <n v="32"/>
    <n v="7.52"/>
  </r>
  <r>
    <d v="2036-04-02T00:00:00"/>
    <x v="1"/>
    <n v="28.4"/>
    <n v="5.7"/>
    <n v="1.6188"/>
  </r>
  <r>
    <d v="2036-04-03T00:00:00"/>
    <x v="18"/>
    <n v="13.7"/>
    <n v="6"/>
    <n v="0.82199999999999984"/>
  </r>
  <r>
    <d v="2036-04-04T00:00:00"/>
    <x v="5"/>
    <n v="22.1"/>
    <n v="11.7"/>
    <n v="2.5857000000000001"/>
  </r>
  <r>
    <d v="2036-04-05T00:00:00"/>
    <x v="7"/>
    <n v="16.899999999999999"/>
    <n v="18.2"/>
    <n v="3.0757999999999996"/>
  </r>
  <r>
    <d v="2036-04-06T00:00:00"/>
    <x v="18"/>
    <n v="28"/>
    <n v="0"/>
    <n v="0"/>
  </r>
  <r>
    <d v="2036-04-07T00:00:00"/>
    <x v="6"/>
    <n v="13.5"/>
    <n v="3.7"/>
    <n v="0.49950000000000006"/>
  </r>
  <r>
    <d v="2036-04-08T00:00:00"/>
    <x v="15"/>
    <n v="13.4"/>
    <n v="22.5"/>
    <n v="3.0150000000000001"/>
  </r>
  <r>
    <d v="2036-04-09T00:00:00"/>
    <x v="2"/>
    <n v="19.899999999999999"/>
    <n v="11.6"/>
    <n v="2.3083999999999998"/>
  </r>
  <r>
    <d v="2036-04-10T00:00:00"/>
    <x v="3"/>
    <n v="24.2"/>
    <n v="11"/>
    <n v="2.6619999999999999"/>
  </r>
  <r>
    <d v="2036-04-11T00:00:00"/>
    <x v="23"/>
    <n v="20.399999999999999"/>
    <n v="0"/>
    <n v="0"/>
  </r>
  <r>
    <d v="2036-04-12T00:00:00"/>
    <x v="23"/>
    <n v="16.600000000000001"/>
    <n v="3.9"/>
    <n v="0.64740000000000009"/>
  </r>
  <r>
    <d v="2036-04-13T00:00:00"/>
    <x v="29"/>
    <n v="14.3"/>
    <n v="0"/>
    <n v="0"/>
  </r>
  <r>
    <d v="2036-04-14T00:00:00"/>
    <x v="22"/>
    <n v="24.4"/>
    <n v="4.4000000000000004"/>
    <n v="1.0735999999999999"/>
  </r>
  <r>
    <d v="2036-04-15T00:00:00"/>
    <x v="6"/>
    <n v="26.7"/>
    <n v="30.4"/>
    <n v="8.1167999999999996"/>
  </r>
  <r>
    <d v="2036-04-16T00:00:00"/>
    <x v="9"/>
    <n v="20.100000000000001"/>
    <n v="3.1"/>
    <n v="0.6231000000000001"/>
  </r>
  <r>
    <d v="2036-04-17T00:00:00"/>
    <x v="2"/>
    <n v="13.5"/>
    <n v="6.9"/>
    <n v="0.93150000000000011"/>
  </r>
  <r>
    <d v="2036-04-18T00:00:00"/>
    <x v="3"/>
    <n v="18.8"/>
    <n v="21.5"/>
    <n v="4.0419999999999998"/>
  </r>
  <r>
    <d v="2036-04-19T00:00:00"/>
    <x v="15"/>
    <n v="18"/>
    <n v="13.9"/>
    <n v="2.5020000000000002"/>
  </r>
  <r>
    <d v="2036-04-20T00:00:00"/>
    <x v="23"/>
    <n v="16.899999999999999"/>
    <n v="1.8"/>
    <n v="0.30419999999999997"/>
  </r>
  <r>
    <d v="2036-04-21T00:00:00"/>
    <x v="2"/>
    <n v="23.7"/>
    <n v="13"/>
    <n v="3.0809999999999995"/>
  </r>
  <r>
    <d v="2036-04-22T00:00:00"/>
    <x v="28"/>
    <n v="17.600000000000001"/>
    <n v="0.6"/>
    <n v="0.1056"/>
  </r>
  <r>
    <d v="2036-04-23T00:00:00"/>
    <x v="3"/>
    <n v="29.1"/>
    <n v="8.3000000000000007"/>
    <n v="2.4153000000000002"/>
  </r>
  <r>
    <d v="2036-04-24T00:00:00"/>
    <x v="5"/>
    <n v="26.8"/>
    <n v="11.2"/>
    <n v="3.0015999999999998"/>
  </r>
  <r>
    <d v="2036-04-25T00:00:00"/>
    <x v="14"/>
    <n v="10.5"/>
    <n v="0"/>
    <n v="0"/>
  </r>
  <r>
    <d v="2036-04-26T00:00:00"/>
    <x v="7"/>
    <n v="13.5"/>
    <n v="0"/>
    <n v="0"/>
  </r>
  <r>
    <d v="2036-04-27T00:00:00"/>
    <x v="6"/>
    <n v="14"/>
    <n v="22"/>
    <n v="3.08"/>
  </r>
  <r>
    <d v="2036-04-28T00:00:00"/>
    <x v="7"/>
    <n v="26.7"/>
    <n v="8"/>
    <n v="2.1360000000000001"/>
  </r>
  <r>
    <d v="2036-04-29T00:00:00"/>
    <x v="22"/>
    <n v="11.2"/>
    <n v="6.1"/>
    <n v="0.68319999999999992"/>
  </r>
  <r>
    <d v="2036-04-30T00:00:00"/>
    <x v="23"/>
    <n v="24.7"/>
    <n v="0"/>
    <n v="0"/>
  </r>
  <r>
    <d v="2036-05-01T00:00:00"/>
    <x v="25"/>
    <n v="27.2"/>
    <n v="0.3"/>
    <n v="8.1600000000000006E-2"/>
  </r>
  <r>
    <d v="2036-05-02T00:00:00"/>
    <x v="26"/>
    <n v="11"/>
    <n v="0"/>
    <n v="0"/>
  </r>
  <r>
    <d v="2036-05-03T00:00:00"/>
    <x v="8"/>
    <n v="10.9"/>
    <n v="4.4000000000000004"/>
    <n v="0.47960000000000008"/>
  </r>
  <r>
    <d v="2036-05-04T00:00:00"/>
    <x v="3"/>
    <n v="27.4"/>
    <n v="6"/>
    <n v="1.6439999999999997"/>
  </r>
  <r>
    <d v="2036-05-05T00:00:00"/>
    <x v="2"/>
    <n v="20"/>
    <n v="7.6"/>
    <n v="1.52"/>
  </r>
  <r>
    <d v="2036-05-06T00:00:00"/>
    <x v="14"/>
    <n v="23.5"/>
    <n v="2.5"/>
    <n v="0.58750000000000002"/>
  </r>
  <r>
    <d v="2036-05-07T00:00:00"/>
    <x v="7"/>
    <n v="28.5"/>
    <n v="0"/>
    <n v="0"/>
  </r>
  <r>
    <d v="2036-05-08T00:00:00"/>
    <x v="23"/>
    <n v="10.8"/>
    <n v="5.8"/>
    <n v="0.62639999999999996"/>
  </r>
  <r>
    <d v="2036-05-09T00:00:00"/>
    <x v="11"/>
    <n v="18.899999999999999"/>
    <n v="9.5"/>
    <n v="1.7954999999999999"/>
  </r>
  <r>
    <d v="2036-05-10T00:00:00"/>
    <x v="9"/>
    <n v="24"/>
    <n v="4"/>
    <n v="0.96"/>
  </r>
  <r>
    <d v="2036-05-11T00:00:00"/>
    <x v="8"/>
    <n v="12.7"/>
    <n v="3"/>
    <n v="0.38099999999999995"/>
  </r>
  <r>
    <d v="2036-05-12T00:00:00"/>
    <x v="3"/>
    <n v="13.4"/>
    <n v="6.2"/>
    <n v="0.83079999999999998"/>
  </r>
  <r>
    <d v="2036-05-13T00:00:00"/>
    <x v="6"/>
    <n v="15.9"/>
    <n v="0"/>
    <n v="0"/>
  </r>
  <r>
    <d v="2036-05-14T00:00:00"/>
    <x v="7"/>
    <n v="19.399999999999999"/>
    <n v="21.2"/>
    <n v="4.1128"/>
  </r>
  <r>
    <d v="2036-05-15T00:00:00"/>
    <x v="11"/>
    <n v="16.3"/>
    <n v="17.600000000000001"/>
    <n v="2.8688000000000007"/>
  </r>
  <r>
    <d v="2036-05-16T00:00:00"/>
    <x v="7"/>
    <n v="28"/>
    <n v="20.399999999999999"/>
    <n v="5.7119999999999997"/>
  </r>
  <r>
    <d v="2036-05-17T00:00:00"/>
    <x v="8"/>
    <n v="19"/>
    <n v="5.2"/>
    <n v="0.98799999999999999"/>
  </r>
  <r>
    <d v="2036-05-18T00:00:00"/>
    <x v="23"/>
    <n v="24.1"/>
    <n v="4.8"/>
    <n v="1.1568000000000001"/>
  </r>
  <r>
    <d v="2036-05-19T00:00:00"/>
    <x v="6"/>
    <n v="15.2"/>
    <n v="25.7"/>
    <n v="3.9063999999999997"/>
  </r>
  <r>
    <d v="2036-05-20T00:00:00"/>
    <x v="7"/>
    <n v="16.3"/>
    <n v="21"/>
    <n v="3.423"/>
  </r>
  <r>
    <d v="2036-05-21T00:00:00"/>
    <x v="3"/>
    <n v="26.9"/>
    <n v="0"/>
    <n v="0"/>
  </r>
  <r>
    <d v="2036-05-22T00:00:00"/>
    <x v="5"/>
    <n v="25"/>
    <n v="0.5"/>
    <n v="0.125"/>
  </r>
  <r>
    <d v="2036-05-23T00:00:00"/>
    <x v="13"/>
    <n v="25.1"/>
    <n v="5.2"/>
    <n v="1.3052000000000001"/>
  </r>
  <r>
    <d v="2036-05-24T00:00:00"/>
    <x v="8"/>
    <n v="29.2"/>
    <n v="7.1"/>
    <n v="2.0731999999999999"/>
  </r>
  <r>
    <d v="2036-05-25T00:00:00"/>
    <x v="9"/>
    <n v="18.100000000000001"/>
    <n v="5.0999999999999996"/>
    <n v="0.92310000000000003"/>
  </r>
  <r>
    <d v="2036-05-26T00:00:00"/>
    <x v="7"/>
    <n v="12.5"/>
    <n v="0"/>
    <n v="0"/>
  </r>
  <r>
    <d v="2036-05-27T00:00:00"/>
    <x v="7"/>
    <n v="19.100000000000001"/>
    <n v="0.3"/>
    <n v="5.7300000000000004E-2"/>
  </r>
  <r>
    <d v="2036-05-28T00:00:00"/>
    <x v="15"/>
    <n v="27.4"/>
    <n v="0"/>
    <n v="0"/>
  </r>
  <r>
    <d v="2036-05-29T00:00:00"/>
    <x v="3"/>
    <n v="21.1"/>
    <n v="10.4"/>
    <n v="2.1944000000000004"/>
  </r>
  <r>
    <d v="2036-05-30T00:00:00"/>
    <x v="23"/>
    <n v="13.4"/>
    <n v="0"/>
    <n v="0"/>
  </r>
  <r>
    <d v="2036-05-31T00:00:00"/>
    <x v="1"/>
    <n v="11.9"/>
    <n v="7.3"/>
    <n v="0.86870000000000003"/>
  </r>
  <r>
    <d v="2036-06-01T00:00:00"/>
    <x v="9"/>
    <n v="20.399999999999999"/>
    <n v="4.3"/>
    <n v="0.87719999999999987"/>
  </r>
  <r>
    <d v="2036-06-02T00:00:00"/>
    <x v="3"/>
    <n v="29.5"/>
    <n v="18.600000000000001"/>
    <n v="5.4870000000000001"/>
  </r>
  <r>
    <d v="2036-06-03T00:00:00"/>
    <x v="8"/>
    <n v="24.1"/>
    <n v="5"/>
    <n v="1.2050000000000001"/>
  </r>
  <r>
    <d v="2036-06-04T00:00:00"/>
    <x v="10"/>
    <n v="11.5"/>
    <n v="3.6"/>
    <n v="0.41399999999999998"/>
  </r>
  <r>
    <d v="2036-06-05T00:00:00"/>
    <x v="21"/>
    <n v="21.2"/>
    <n v="1.8"/>
    <n v="0.38159999999999994"/>
  </r>
  <r>
    <d v="2036-06-06T00:00:00"/>
    <x v="6"/>
    <n v="22.2"/>
    <n v="40.299999999999997"/>
    <n v="8.9465999999999983"/>
  </r>
  <r>
    <d v="2036-06-07T00:00:00"/>
    <x v="6"/>
    <n v="14.6"/>
    <n v="2.6"/>
    <n v="0.37959999999999999"/>
  </r>
  <r>
    <d v="2036-06-08T00:00:00"/>
    <x v="9"/>
    <n v="23.3"/>
    <n v="8.1"/>
    <n v="1.8873"/>
  </r>
  <r>
    <d v="2036-06-09T00:00:00"/>
    <x v="9"/>
    <n v="16.2"/>
    <n v="10.4"/>
    <n v="1.6847999999999999"/>
  </r>
  <r>
    <d v="2036-06-10T00:00:00"/>
    <x v="6"/>
    <n v="25.9"/>
    <n v="0"/>
    <n v="0"/>
  </r>
  <r>
    <d v="2036-06-11T00:00:00"/>
    <x v="1"/>
    <n v="14.6"/>
    <n v="7"/>
    <n v="1.022"/>
  </r>
  <r>
    <d v="2036-06-12T00:00:00"/>
    <x v="14"/>
    <n v="15.1"/>
    <n v="11.7"/>
    <n v="1.7666999999999999"/>
  </r>
  <r>
    <d v="2036-06-13T00:00:00"/>
    <x v="15"/>
    <n v="14.1"/>
    <n v="6.5"/>
    <n v="0.91649999999999987"/>
  </r>
  <r>
    <d v="2036-06-14T00:00:00"/>
    <x v="23"/>
    <n v="22.1"/>
    <n v="1.8"/>
    <n v="0.39779999999999999"/>
  </r>
  <r>
    <d v="2036-06-15T00:00:00"/>
    <x v="7"/>
    <n v="27.2"/>
    <n v="21.9"/>
    <n v="5.9567999999999994"/>
  </r>
  <r>
    <d v="2036-06-16T00:00:00"/>
    <x v="2"/>
    <n v="10.8"/>
    <n v="0"/>
    <n v="0"/>
  </r>
  <r>
    <d v="2036-06-17T00:00:00"/>
    <x v="3"/>
    <n v="24.6"/>
    <n v="0"/>
    <n v="0"/>
  </r>
  <r>
    <d v="2036-06-18T00:00:00"/>
    <x v="6"/>
    <n v="27.8"/>
    <n v="26.3"/>
    <n v="7.3113999999999999"/>
  </r>
  <r>
    <d v="2036-06-19T00:00:00"/>
    <x v="10"/>
    <n v="12.9"/>
    <n v="2.8"/>
    <n v="0.36119999999999997"/>
  </r>
  <r>
    <d v="2036-06-20T00:00:00"/>
    <x v="9"/>
    <n v="13.9"/>
    <n v="0.6"/>
    <n v="8.3400000000000002E-2"/>
  </r>
  <r>
    <d v="2036-06-21T00:00:00"/>
    <x v="25"/>
    <n v="27.6"/>
    <n v="0.6"/>
    <n v="0.1656"/>
  </r>
  <r>
    <d v="2036-06-22T00:00:00"/>
    <x v="7"/>
    <n v="18.600000000000001"/>
    <n v="21.5"/>
    <n v="3.9990000000000006"/>
  </r>
  <r>
    <d v="2036-06-23T00:00:00"/>
    <x v="2"/>
    <n v="17.8"/>
    <n v="0"/>
    <n v="0"/>
  </r>
  <r>
    <d v="2036-06-24T00:00:00"/>
    <x v="11"/>
    <n v="20.8"/>
    <n v="8.5"/>
    <n v="1.768"/>
  </r>
  <r>
    <d v="2036-06-25T00:00:00"/>
    <x v="18"/>
    <n v="16.399999999999999"/>
    <n v="6.8"/>
    <n v="1.1151999999999997"/>
  </r>
  <r>
    <d v="2036-06-26T00:00:00"/>
    <x v="23"/>
    <n v="14.6"/>
    <n v="0"/>
    <n v="0"/>
  </r>
  <r>
    <d v="2036-06-27T00:00:00"/>
    <x v="5"/>
    <n v="27.1"/>
    <n v="1.2"/>
    <n v="0.32520000000000004"/>
  </r>
  <r>
    <d v="2036-06-28T00:00:00"/>
    <x v="6"/>
    <n v="18.3"/>
    <n v="3.7"/>
    <n v="0.67710000000000004"/>
  </r>
  <r>
    <d v="2036-06-29T00:00:00"/>
    <x v="25"/>
    <n v="27.1"/>
    <n v="0.2"/>
    <n v="5.4200000000000005E-2"/>
  </r>
  <r>
    <d v="2036-06-30T00:00:00"/>
    <x v="11"/>
    <n v="12.9"/>
    <n v="10.199999999999999"/>
    <n v="1.3157999999999999"/>
  </r>
  <r>
    <d v="2036-07-01T00:00:00"/>
    <x v="15"/>
    <n v="19.100000000000001"/>
    <n v="19.600000000000001"/>
    <n v="3.7436000000000007"/>
  </r>
  <r>
    <d v="2036-07-02T00:00:00"/>
    <x v="2"/>
    <n v="19.2"/>
    <n v="3.6"/>
    <n v="0.69120000000000004"/>
  </r>
  <r>
    <d v="2036-07-03T00:00:00"/>
    <x v="5"/>
    <n v="25.2"/>
    <n v="0"/>
    <n v="0"/>
  </r>
  <r>
    <d v="2036-07-04T00:00:00"/>
    <x v="11"/>
    <n v="13.5"/>
    <n v="6.3"/>
    <n v="0.85049999999999992"/>
  </r>
  <r>
    <d v="2036-07-05T00:00:00"/>
    <x v="8"/>
    <n v="19.2"/>
    <n v="7.7"/>
    <n v="1.4783999999999999"/>
  </r>
  <r>
    <d v="2036-07-06T00:00:00"/>
    <x v="10"/>
    <n v="24.1"/>
    <n v="7.8"/>
    <n v="1.8798000000000001"/>
  </r>
  <r>
    <d v="2036-07-07T00:00:00"/>
    <x v="6"/>
    <n v="17.8"/>
    <n v="13.4"/>
    <n v="2.3852000000000002"/>
  </r>
  <r>
    <d v="2036-07-08T00:00:00"/>
    <x v="3"/>
    <n v="24.7"/>
    <n v="21.1"/>
    <n v="5.2117000000000004"/>
  </r>
  <r>
    <d v="2036-07-09T00:00:00"/>
    <x v="16"/>
    <n v="16.8"/>
    <n v="0"/>
    <n v="0"/>
  </r>
  <r>
    <d v="2036-07-10T00:00:00"/>
    <x v="1"/>
    <n v="10.7"/>
    <n v="3"/>
    <n v="0.32099999999999995"/>
  </r>
  <r>
    <d v="2036-07-11T00:00:00"/>
    <x v="2"/>
    <n v="29.3"/>
    <n v="8.3000000000000007"/>
    <n v="2.4319000000000002"/>
  </r>
  <r>
    <d v="2036-07-12T00:00:00"/>
    <x v="21"/>
    <n v="28.2"/>
    <n v="0"/>
    <n v="0"/>
  </r>
  <r>
    <d v="2036-07-13T00:00:00"/>
    <x v="6"/>
    <n v="17.3"/>
    <n v="33.6"/>
    <n v="5.8128000000000011"/>
  </r>
  <r>
    <d v="2036-07-14T00:00:00"/>
    <x v="2"/>
    <n v="24.6"/>
    <n v="0"/>
    <n v="0"/>
  </r>
  <r>
    <d v="2036-07-15T00:00:00"/>
    <x v="8"/>
    <n v="12.6"/>
    <n v="0.6"/>
    <n v="7.5600000000000001E-2"/>
  </r>
  <r>
    <d v="2036-07-16T00:00:00"/>
    <x v="15"/>
    <n v="27.3"/>
    <n v="0"/>
    <n v="0"/>
  </r>
  <r>
    <d v="2036-07-17T00:00:00"/>
    <x v="4"/>
    <n v="14.4"/>
    <n v="2"/>
    <n v="0.28800000000000003"/>
  </r>
  <r>
    <d v="2036-07-18T00:00:00"/>
    <x v="6"/>
    <n v="11.2"/>
    <n v="32.6"/>
    <n v="3.6512000000000002"/>
  </r>
  <r>
    <d v="2036-07-19T00:00:00"/>
    <x v="15"/>
    <n v="11.4"/>
    <n v="5.5"/>
    <n v="0.627"/>
  </r>
  <r>
    <d v="2036-07-20T00:00:00"/>
    <x v="10"/>
    <n v="22.9"/>
    <n v="0"/>
    <n v="0"/>
  </r>
  <r>
    <d v="2036-07-21T00:00:00"/>
    <x v="3"/>
    <n v="14.3"/>
    <n v="13.2"/>
    <n v="1.8875999999999999"/>
  </r>
  <r>
    <d v="2036-07-22T00:00:00"/>
    <x v="6"/>
    <n v="22.9"/>
    <n v="22.9"/>
    <n v="5.2440999999999995"/>
  </r>
  <r>
    <d v="2036-07-23T00:00:00"/>
    <x v="7"/>
    <n v="11.8"/>
    <n v="0"/>
    <n v="0"/>
  </r>
  <r>
    <d v="2036-07-24T00:00:00"/>
    <x v="14"/>
    <n v="24.5"/>
    <n v="0"/>
    <n v="0"/>
  </r>
  <r>
    <d v="2036-07-25T00:00:00"/>
    <x v="11"/>
    <n v="25.5"/>
    <n v="19.3"/>
    <n v="4.9215"/>
  </r>
  <r>
    <d v="2036-07-26T00:00:00"/>
    <x v="15"/>
    <n v="14.7"/>
    <n v="18.3"/>
    <n v="2.6900999999999997"/>
  </r>
  <r>
    <d v="2036-07-27T00:00:00"/>
    <x v="11"/>
    <n v="28.7"/>
    <n v="0"/>
    <n v="0"/>
  </r>
  <r>
    <d v="2036-07-28T00:00:00"/>
    <x v="6"/>
    <n v="16.7"/>
    <n v="0"/>
    <n v="0"/>
  </r>
  <r>
    <d v="2036-07-29T00:00:00"/>
    <x v="11"/>
    <n v="17.399999999999999"/>
    <n v="13.7"/>
    <n v="2.3837999999999995"/>
  </r>
  <r>
    <d v="2036-07-30T00:00:00"/>
    <x v="6"/>
    <n v="15.6"/>
    <n v="0"/>
    <n v="0"/>
  </r>
  <r>
    <d v="2036-07-31T00:00:00"/>
    <x v="15"/>
    <n v="21.7"/>
    <n v="0"/>
    <n v="0"/>
  </r>
  <r>
    <d v="2036-08-01T00:00:00"/>
    <x v="3"/>
    <n v="26"/>
    <n v="0"/>
    <n v="0"/>
  </r>
  <r>
    <d v="2036-08-02T00:00:00"/>
    <x v="18"/>
    <n v="24.5"/>
    <n v="9"/>
    <n v="2.2050000000000001"/>
  </r>
  <r>
    <d v="2036-08-03T00:00:00"/>
    <x v="13"/>
    <n v="23.2"/>
    <n v="0"/>
    <n v="0"/>
  </r>
  <r>
    <d v="2036-08-04T00:00:00"/>
    <x v="20"/>
    <n v="17.600000000000001"/>
    <n v="0.8"/>
    <n v="0.14080000000000001"/>
  </r>
  <r>
    <d v="2036-08-05T00:00:00"/>
    <x v="3"/>
    <n v="13.9"/>
    <n v="8.8000000000000007"/>
    <n v="1.2232000000000001"/>
  </r>
  <r>
    <d v="2036-08-06T00:00:00"/>
    <x v="23"/>
    <n v="20.7"/>
    <n v="4.3"/>
    <n v="0.89009999999999989"/>
  </r>
  <r>
    <d v="2036-08-07T00:00:00"/>
    <x v="1"/>
    <n v="10.1"/>
    <n v="1.7"/>
    <n v="0.17169999999999999"/>
  </r>
  <r>
    <d v="2036-08-08T00:00:00"/>
    <x v="3"/>
    <n v="26.2"/>
    <n v="22.7"/>
    <n v="5.9474"/>
  </r>
  <r>
    <d v="2036-08-09T00:00:00"/>
    <x v="15"/>
    <n v="27.6"/>
    <n v="13.8"/>
    <n v="3.8088000000000006"/>
  </r>
  <r>
    <d v="2036-08-10T00:00:00"/>
    <x v="2"/>
    <n v="20.6"/>
    <n v="4.7"/>
    <n v="0.96820000000000006"/>
  </r>
  <r>
    <d v="2036-08-11T00:00:00"/>
    <x v="5"/>
    <n v="21.4"/>
    <n v="5"/>
    <n v="1.07"/>
  </r>
  <r>
    <d v="2036-08-12T00:00:00"/>
    <x v="2"/>
    <n v="17.100000000000001"/>
    <n v="0"/>
    <n v="0"/>
  </r>
  <r>
    <d v="2036-08-13T00:00:00"/>
    <x v="6"/>
    <n v="19.5"/>
    <n v="20.5"/>
    <n v="3.9975000000000001"/>
  </r>
  <r>
    <d v="2036-08-14T00:00:00"/>
    <x v="9"/>
    <n v="15.9"/>
    <n v="0"/>
    <n v="0"/>
  </r>
  <r>
    <d v="2036-08-15T00:00:00"/>
    <x v="6"/>
    <n v="21.1"/>
    <n v="46.8"/>
    <n v="9.8748000000000005"/>
  </r>
  <r>
    <d v="2036-08-16T00:00:00"/>
    <x v="15"/>
    <n v="20.2"/>
    <n v="36.6"/>
    <n v="7.3932000000000002"/>
  </r>
  <r>
    <d v="2036-08-17T00:00:00"/>
    <x v="8"/>
    <n v="25"/>
    <n v="7.8"/>
    <n v="1.95"/>
  </r>
  <r>
    <d v="2036-08-18T00:00:00"/>
    <x v="6"/>
    <n v="22.1"/>
    <n v="8.8000000000000007"/>
    <n v="1.9448000000000001"/>
  </r>
  <r>
    <d v="2036-08-19T00:00:00"/>
    <x v="29"/>
    <n v="28.9"/>
    <n v="0.5"/>
    <n v="0.14449999999999999"/>
  </r>
  <r>
    <d v="2036-08-20T00:00:00"/>
    <x v="7"/>
    <n v="19.600000000000001"/>
    <n v="0"/>
    <n v="0"/>
  </r>
  <r>
    <d v="2036-08-21T00:00:00"/>
    <x v="3"/>
    <n v="18"/>
    <n v="13.2"/>
    <n v="2.3759999999999999"/>
  </r>
  <r>
    <d v="2036-08-22T00:00:00"/>
    <x v="8"/>
    <n v="28.3"/>
    <n v="0"/>
    <n v="0"/>
  </r>
  <r>
    <d v="2036-08-23T00:00:00"/>
    <x v="2"/>
    <n v="25.2"/>
    <n v="0"/>
    <n v="0"/>
  </r>
  <r>
    <d v="2036-08-24T00:00:00"/>
    <x v="6"/>
    <n v="22.5"/>
    <n v="0"/>
    <n v="0"/>
  </r>
  <r>
    <d v="2036-08-25T00:00:00"/>
    <x v="9"/>
    <n v="19.899999999999999"/>
    <n v="6.7"/>
    <n v="1.3332999999999999"/>
  </r>
  <r>
    <d v="2036-08-26T00:00:00"/>
    <x v="7"/>
    <n v="10.8"/>
    <n v="19.600000000000001"/>
    <n v="2.1168000000000005"/>
  </r>
  <r>
    <d v="2036-08-27T00:00:00"/>
    <x v="15"/>
    <n v="18.399999999999999"/>
    <n v="0.6"/>
    <n v="0.1104"/>
  </r>
  <r>
    <d v="2036-08-28T00:00:00"/>
    <x v="22"/>
    <n v="27.6"/>
    <n v="3.7"/>
    <n v="1.0212000000000001"/>
  </r>
  <r>
    <d v="2036-08-29T00:00:00"/>
    <x v="22"/>
    <n v="11.3"/>
    <n v="1.9"/>
    <n v="0.2147"/>
  </r>
  <r>
    <d v="2036-08-30T00:00:00"/>
    <x v="22"/>
    <n v="28.7"/>
    <n v="0"/>
    <n v="0"/>
  </r>
  <r>
    <d v="2036-08-31T00:00:00"/>
    <x v="17"/>
    <n v="15"/>
    <n v="1.7"/>
    <n v="0.255"/>
  </r>
  <r>
    <d v="2036-09-01T00:00:00"/>
    <x v="3"/>
    <n v="15.1"/>
    <n v="13.5"/>
    <n v="2.0385"/>
  </r>
  <r>
    <d v="2036-09-02T00:00:00"/>
    <x v="15"/>
    <n v="19.399999999999999"/>
    <n v="29.6"/>
    <n v="5.7423999999999999"/>
  </r>
  <r>
    <d v="2036-09-03T00:00:00"/>
    <x v="3"/>
    <n v="21.9"/>
    <n v="1.6"/>
    <n v="0.35039999999999999"/>
  </r>
  <r>
    <d v="2036-09-04T00:00:00"/>
    <x v="14"/>
    <n v="19.399999999999999"/>
    <n v="9.8000000000000007"/>
    <n v="1.9012"/>
  </r>
  <r>
    <d v="2036-09-05T00:00:00"/>
    <x v="3"/>
    <n v="21.8"/>
    <n v="18.5"/>
    <n v="4.0330000000000004"/>
  </r>
  <r>
    <d v="2036-09-06T00:00:00"/>
    <x v="13"/>
    <n v="29.3"/>
    <n v="2.8"/>
    <n v="0.82039999999999991"/>
  </r>
  <r>
    <d v="2036-09-07T00:00:00"/>
    <x v="15"/>
    <n v="14.4"/>
    <n v="0"/>
    <n v="0"/>
  </r>
  <r>
    <d v="2036-09-08T00:00:00"/>
    <x v="6"/>
    <n v="14.5"/>
    <n v="0"/>
    <n v="0"/>
  </r>
  <r>
    <d v="2036-09-09T00:00:00"/>
    <x v="11"/>
    <n v="18.399999999999999"/>
    <n v="10.1"/>
    <n v="1.8583999999999998"/>
  </r>
  <r>
    <d v="2036-09-10T00:00:00"/>
    <x v="14"/>
    <n v="29.8"/>
    <n v="0"/>
    <n v="0"/>
  </r>
  <r>
    <d v="2036-09-11T00:00:00"/>
    <x v="3"/>
    <n v="27.3"/>
    <n v="18.600000000000001"/>
    <n v="5.0777999999999999"/>
  </r>
  <r>
    <d v="2036-09-12T00:00:00"/>
    <x v="5"/>
    <n v="22.7"/>
    <n v="0"/>
    <n v="0"/>
  </r>
  <r>
    <d v="2036-09-13T00:00:00"/>
    <x v="6"/>
    <n v="27.3"/>
    <n v="18.399999999999999"/>
    <n v="5.0232000000000001"/>
  </r>
  <r>
    <d v="2036-09-14T00:00:00"/>
    <x v="14"/>
    <n v="12.9"/>
    <n v="0"/>
    <n v="0"/>
  </r>
  <r>
    <d v="2036-09-15T00:00:00"/>
    <x v="15"/>
    <n v="24.3"/>
    <n v="1.9"/>
    <n v="0.4617"/>
  </r>
  <r>
    <d v="2036-09-16T00:00:00"/>
    <x v="14"/>
    <n v="20.6"/>
    <n v="14.6"/>
    <n v="3.0076000000000001"/>
  </r>
  <r>
    <d v="2036-09-17T00:00:00"/>
    <x v="1"/>
    <n v="24.2"/>
    <n v="0"/>
    <n v="0"/>
  </r>
  <r>
    <d v="2036-09-18T00:00:00"/>
    <x v="6"/>
    <n v="15.2"/>
    <n v="0"/>
    <n v="0"/>
  </r>
  <r>
    <d v="2036-09-19T00:00:00"/>
    <x v="21"/>
    <n v="27.3"/>
    <n v="2.5"/>
    <n v="0.6825"/>
  </r>
  <r>
    <d v="2036-09-20T00:00:00"/>
    <x v="21"/>
    <n v="28"/>
    <n v="0"/>
    <n v="0"/>
  </r>
  <r>
    <d v="2036-09-21T00:00:00"/>
    <x v="27"/>
    <n v="16.100000000000001"/>
    <n v="0"/>
    <n v="0"/>
  </r>
  <r>
    <d v="2036-09-22T00:00:00"/>
    <x v="15"/>
    <n v="18.8"/>
    <n v="16.899999999999999"/>
    <n v="3.1771999999999996"/>
  </r>
  <r>
    <d v="2036-09-23T00:00:00"/>
    <x v="6"/>
    <n v="13.2"/>
    <n v="10.4"/>
    <n v="1.3728"/>
  </r>
  <r>
    <d v="2036-09-24T00:00:00"/>
    <x v="1"/>
    <n v="17.899999999999999"/>
    <n v="3.5"/>
    <n v="0.62649999999999995"/>
  </r>
  <r>
    <d v="2036-09-25T00:00:00"/>
    <x v="3"/>
    <n v="18.3"/>
    <n v="16.7"/>
    <n v="3.0561000000000003"/>
  </r>
  <r>
    <d v="2036-09-26T00:00:00"/>
    <x v="13"/>
    <n v="25.7"/>
    <n v="2"/>
    <n v="0.51400000000000001"/>
  </r>
  <r>
    <d v="2036-09-27T00:00:00"/>
    <x v="6"/>
    <n v="29.2"/>
    <n v="31.5"/>
    <n v="9.1980000000000004"/>
  </r>
  <r>
    <d v="2036-09-28T00:00:00"/>
    <x v="3"/>
    <n v="21.5"/>
    <n v="0"/>
    <n v="0"/>
  </r>
  <r>
    <d v="2036-09-29T00:00:00"/>
    <x v="7"/>
    <n v="29.5"/>
    <n v="12.2"/>
    <n v="3.5989999999999998"/>
  </r>
  <r>
    <d v="2036-09-30T00:00:00"/>
    <x v="3"/>
    <n v="17.7"/>
    <n v="10.1"/>
    <n v="1.7876999999999998"/>
  </r>
  <r>
    <d v="2036-10-01T00:00:00"/>
    <x v="15"/>
    <n v="26.7"/>
    <n v="1.2"/>
    <n v="0.32040000000000002"/>
  </r>
  <r>
    <d v="2036-10-02T00:00:00"/>
    <x v="6"/>
    <n v="13.3"/>
    <n v="0.5"/>
    <n v="6.6500000000000004E-2"/>
  </r>
  <r>
    <d v="2036-10-03T00:00:00"/>
    <x v="3"/>
    <n v="13.4"/>
    <n v="23.4"/>
    <n v="3.1356000000000002"/>
  </r>
  <r>
    <d v="2036-10-04T00:00:00"/>
    <x v="7"/>
    <n v="22.1"/>
    <n v="17.7"/>
    <n v="3.9117000000000002"/>
  </r>
  <r>
    <d v="2036-10-05T00:00:00"/>
    <x v="18"/>
    <n v="11.4"/>
    <n v="0"/>
    <n v="0"/>
  </r>
  <r>
    <d v="2036-10-06T00:00:00"/>
    <x v="11"/>
    <n v="26"/>
    <n v="4.9000000000000004"/>
    <n v="1.274"/>
  </r>
  <r>
    <d v="2036-10-07T00:00:00"/>
    <x v="11"/>
    <n v="27.8"/>
    <n v="6.7"/>
    <n v="1.8626000000000003"/>
  </r>
  <r>
    <d v="2036-10-08T00:00:00"/>
    <x v="3"/>
    <n v="29.3"/>
    <n v="1.7"/>
    <n v="0.49810000000000004"/>
  </r>
  <r>
    <d v="2036-10-09T00:00:00"/>
    <x v="19"/>
    <n v="24.7"/>
    <n v="2.5"/>
    <n v="0.61750000000000005"/>
  </r>
  <r>
    <d v="2036-10-10T00:00:00"/>
    <x v="0"/>
    <n v="16.600000000000001"/>
    <n v="0.1"/>
    <n v="1.66E-2"/>
  </r>
  <r>
    <d v="2036-10-11T00:00:00"/>
    <x v="14"/>
    <n v="27.5"/>
    <n v="0"/>
    <n v="0"/>
  </r>
  <r>
    <d v="2036-10-12T00:00:00"/>
    <x v="11"/>
    <n v="22.7"/>
    <n v="0"/>
    <n v="0"/>
  </r>
  <r>
    <d v="2036-10-13T00:00:00"/>
    <x v="8"/>
    <n v="20.100000000000001"/>
    <n v="10.5"/>
    <n v="2.1105"/>
  </r>
  <r>
    <d v="2036-10-14T00:00:00"/>
    <x v="3"/>
    <n v="16.100000000000001"/>
    <n v="8.1"/>
    <n v="1.3041"/>
  </r>
  <r>
    <d v="2036-10-15T00:00:00"/>
    <x v="3"/>
    <n v="13.9"/>
    <n v="0"/>
    <n v="0"/>
  </r>
  <r>
    <d v="2036-10-16T00:00:00"/>
    <x v="8"/>
    <n v="22.3"/>
    <n v="0"/>
    <n v="0"/>
  </r>
  <r>
    <d v="2036-10-17T00:00:00"/>
    <x v="22"/>
    <n v="13"/>
    <n v="0"/>
    <n v="0"/>
  </r>
  <r>
    <d v="2036-10-18T00:00:00"/>
    <x v="7"/>
    <n v="16.2"/>
    <n v="0"/>
    <n v="0"/>
  </r>
  <r>
    <d v="2036-10-19T00:00:00"/>
    <x v="10"/>
    <n v="24.8"/>
    <n v="0"/>
    <n v="0"/>
  </r>
  <r>
    <d v="2036-10-20T00:00:00"/>
    <x v="9"/>
    <n v="29.7"/>
    <n v="0"/>
    <n v="0"/>
  </r>
  <r>
    <d v="2036-10-21T00:00:00"/>
    <x v="6"/>
    <n v="17.600000000000001"/>
    <n v="14.7"/>
    <n v="2.5872000000000002"/>
  </r>
  <r>
    <d v="2036-10-22T00:00:00"/>
    <x v="6"/>
    <n v="10.4"/>
    <n v="27.7"/>
    <n v="2.8807999999999998"/>
  </r>
  <r>
    <d v="2036-10-23T00:00:00"/>
    <x v="11"/>
    <n v="17"/>
    <n v="1.1000000000000001"/>
    <n v="0.18700000000000003"/>
  </r>
  <r>
    <d v="2036-10-24T00:00:00"/>
    <x v="14"/>
    <n v="15.7"/>
    <n v="5.9"/>
    <n v="0.9262999999999999"/>
  </r>
  <r>
    <d v="2036-10-25T00:00:00"/>
    <x v="15"/>
    <n v="23.8"/>
    <n v="4.3"/>
    <n v="1.0234000000000001"/>
  </r>
  <r>
    <d v="2036-10-26T00:00:00"/>
    <x v="7"/>
    <n v="16.2"/>
    <n v="8.6999999999999993"/>
    <n v="1.4093999999999998"/>
  </r>
  <r>
    <d v="2036-10-27T00:00:00"/>
    <x v="1"/>
    <n v="23.3"/>
    <n v="5.8"/>
    <n v="1.3513999999999999"/>
  </r>
  <r>
    <d v="2036-10-28T00:00:00"/>
    <x v="3"/>
    <n v="18.7"/>
    <n v="1.1000000000000001"/>
    <n v="0.20569999999999999"/>
  </r>
  <r>
    <d v="2036-10-29T00:00:00"/>
    <x v="13"/>
    <n v="27.9"/>
    <n v="2.6"/>
    <n v="0.72539999999999993"/>
  </r>
  <r>
    <d v="2036-10-30T00:00:00"/>
    <x v="14"/>
    <n v="19.8"/>
    <n v="0"/>
    <n v="0"/>
  </r>
  <r>
    <d v="2036-10-31T00:00:00"/>
    <x v="7"/>
    <n v="16.7"/>
    <n v="3.5"/>
    <n v="0.58449999999999991"/>
  </r>
  <r>
    <d v="2036-11-01T00:00:00"/>
    <x v="19"/>
    <n v="28.6"/>
    <n v="0"/>
    <n v="0"/>
  </r>
  <r>
    <d v="2036-11-02T00:00:00"/>
    <x v="6"/>
    <n v="10.8"/>
    <n v="32.9"/>
    <n v="3.5531999999999999"/>
  </r>
  <r>
    <d v="2036-11-03T00:00:00"/>
    <x v="14"/>
    <n v="12.8"/>
    <n v="0"/>
    <n v="0"/>
  </r>
  <r>
    <d v="2036-11-04T00:00:00"/>
    <x v="22"/>
    <n v="17.600000000000001"/>
    <n v="0"/>
    <n v="0"/>
  </r>
  <r>
    <d v="2036-11-05T00:00:00"/>
    <x v="18"/>
    <n v="24.1"/>
    <n v="0"/>
    <n v="0"/>
  </r>
  <r>
    <d v="2036-11-06T00:00:00"/>
    <x v="7"/>
    <n v="11.4"/>
    <n v="18.2"/>
    <n v="2.0747999999999998"/>
  </r>
  <r>
    <d v="2036-11-07T00:00:00"/>
    <x v="5"/>
    <n v="21.9"/>
    <n v="5.4"/>
    <n v="1.1826000000000001"/>
  </r>
  <r>
    <d v="2036-11-08T00:00:00"/>
    <x v="22"/>
    <n v="16.8"/>
    <n v="1.6"/>
    <n v="0.26880000000000004"/>
  </r>
  <r>
    <d v="2036-11-09T00:00:00"/>
    <x v="2"/>
    <n v="26"/>
    <n v="0"/>
    <n v="0"/>
  </r>
  <r>
    <d v="2036-11-10T00:00:00"/>
    <x v="7"/>
    <n v="20.2"/>
    <n v="10"/>
    <n v="2.02"/>
  </r>
  <r>
    <d v="2036-11-11T00:00:00"/>
    <x v="15"/>
    <n v="20.3"/>
    <n v="37.799999999999997"/>
    <n v="7.6733999999999991"/>
  </r>
  <r>
    <d v="2036-11-12T00:00:00"/>
    <x v="3"/>
    <n v="27.5"/>
    <n v="20.8"/>
    <n v="5.72"/>
  </r>
  <r>
    <d v="2036-11-13T00:00:00"/>
    <x v="15"/>
    <n v="24.2"/>
    <n v="2.9"/>
    <n v="0.70179999999999998"/>
  </r>
  <r>
    <d v="2036-11-14T00:00:00"/>
    <x v="7"/>
    <n v="10.7"/>
    <n v="14.3"/>
    <n v="1.5301"/>
  </r>
  <r>
    <d v="2036-11-15T00:00:00"/>
    <x v="15"/>
    <n v="17.3"/>
    <n v="0"/>
    <n v="0"/>
  </r>
  <r>
    <d v="2036-11-16T00:00:00"/>
    <x v="7"/>
    <n v="13.5"/>
    <n v="21.1"/>
    <n v="2.8485"/>
  </r>
  <r>
    <d v="2036-11-17T00:00:00"/>
    <x v="2"/>
    <n v="13.6"/>
    <n v="6"/>
    <n v="0.81599999999999995"/>
  </r>
  <r>
    <d v="2036-11-18T00:00:00"/>
    <x v="1"/>
    <n v="19.899999999999999"/>
    <n v="0"/>
    <n v="0"/>
  </r>
  <r>
    <d v="2036-11-19T00:00:00"/>
    <x v="14"/>
    <n v="13.1"/>
    <n v="10.199999999999999"/>
    <n v="1.3361999999999998"/>
  </r>
  <r>
    <d v="2036-11-20T00:00:00"/>
    <x v="17"/>
    <n v="29.8"/>
    <n v="1.9"/>
    <n v="0.56619999999999993"/>
  </r>
  <r>
    <d v="2036-11-21T00:00:00"/>
    <x v="24"/>
    <n v="23.7"/>
    <n v="0.3"/>
    <n v="7.1099999999999997E-2"/>
  </r>
  <r>
    <d v="2036-11-22T00:00:00"/>
    <x v="15"/>
    <n v="14"/>
    <n v="0"/>
    <n v="0"/>
  </r>
  <r>
    <d v="2036-11-23T00:00:00"/>
    <x v="26"/>
    <n v="19"/>
    <n v="0.5"/>
    <n v="9.5000000000000001E-2"/>
  </r>
  <r>
    <d v="2036-11-24T00:00:00"/>
    <x v="28"/>
    <n v="23.9"/>
    <n v="0.5"/>
    <n v="0.1195"/>
  </r>
  <r>
    <d v="2036-11-25T00:00:00"/>
    <x v="15"/>
    <n v="12.8"/>
    <n v="26.7"/>
    <n v="3.4175999999999997"/>
  </r>
  <r>
    <d v="2036-11-26T00:00:00"/>
    <x v="3"/>
    <n v="26.9"/>
    <n v="4.5"/>
    <n v="1.2104999999999999"/>
  </r>
  <r>
    <d v="2036-11-27T00:00:00"/>
    <x v="22"/>
    <n v="10.6"/>
    <n v="0"/>
    <n v="0"/>
  </r>
  <r>
    <d v="2036-11-28T00:00:00"/>
    <x v="7"/>
    <n v="21.1"/>
    <n v="10.6"/>
    <n v="2.2366000000000001"/>
  </r>
  <r>
    <d v="2036-11-29T00:00:00"/>
    <x v="2"/>
    <n v="11.7"/>
    <n v="9.9"/>
    <n v="1.1582999999999999"/>
  </r>
  <r>
    <d v="2036-11-30T00:00:00"/>
    <x v="4"/>
    <n v="20.5"/>
    <n v="3.7"/>
    <n v="0.75850000000000006"/>
  </r>
  <r>
    <d v="2036-12-01T00:00:00"/>
    <x v="15"/>
    <n v="27.4"/>
    <n v="10.4"/>
    <n v="2.8495999999999997"/>
  </r>
  <r>
    <d v="2036-12-02T00:00:00"/>
    <x v="6"/>
    <n v="15.8"/>
    <n v="10.199999999999999"/>
    <n v="1.6115999999999999"/>
  </r>
  <r>
    <d v="2036-12-03T00:00:00"/>
    <x v="15"/>
    <n v="19.600000000000001"/>
    <n v="0"/>
    <n v="0"/>
  </r>
  <r>
    <d v="2036-12-04T00:00:00"/>
    <x v="6"/>
    <n v="16.899999999999999"/>
    <n v="48.4"/>
    <n v="8.1795999999999989"/>
  </r>
  <r>
    <d v="2036-12-05T00:00:00"/>
    <x v="15"/>
    <n v="12.2"/>
    <n v="0"/>
    <n v="0"/>
  </r>
  <r>
    <d v="2036-12-06T00:00:00"/>
    <x v="6"/>
    <n v="16.600000000000001"/>
    <n v="14.1"/>
    <n v="2.3406000000000002"/>
  </r>
  <r>
    <d v="2036-12-07T00:00:00"/>
    <x v="7"/>
    <n v="27.6"/>
    <n v="0"/>
    <n v="0"/>
  </r>
  <r>
    <d v="2036-12-08T00:00:00"/>
    <x v="11"/>
    <n v="24.8"/>
    <n v="0"/>
    <n v="0"/>
  </r>
  <r>
    <d v="2036-12-09T00:00:00"/>
    <x v="6"/>
    <n v="23.1"/>
    <n v="29.8"/>
    <n v="6.8838000000000008"/>
  </r>
  <r>
    <d v="2036-12-10T00:00:00"/>
    <x v="23"/>
    <n v="12.4"/>
    <n v="6.1"/>
    <n v="0.75639999999999996"/>
  </r>
  <r>
    <d v="2036-12-11T00:00:00"/>
    <x v="15"/>
    <n v="13.9"/>
    <n v="21.5"/>
    <n v="2.9885000000000002"/>
  </r>
  <r>
    <d v="2036-12-12T00:00:00"/>
    <x v="16"/>
    <n v="16.600000000000001"/>
    <n v="4.7"/>
    <n v="0.78020000000000012"/>
  </r>
  <r>
    <d v="2036-12-13T00:00:00"/>
    <x v="9"/>
    <n v="17.7"/>
    <n v="14"/>
    <n v="2.4779999999999998"/>
  </r>
  <r>
    <d v="2036-12-14T00:00:00"/>
    <x v="7"/>
    <n v="19"/>
    <n v="1.7"/>
    <n v="0.32299999999999995"/>
  </r>
  <r>
    <d v="2036-12-15T00:00:00"/>
    <x v="3"/>
    <n v="29.9"/>
    <n v="0"/>
    <n v="0"/>
  </r>
  <r>
    <d v="2036-12-16T00:00:00"/>
    <x v="15"/>
    <n v="23.7"/>
    <n v="31.4"/>
    <n v="7.4417999999999997"/>
  </r>
  <r>
    <d v="2036-12-17T00:00:00"/>
    <x v="6"/>
    <n v="25.4"/>
    <n v="0"/>
    <n v="0"/>
  </r>
  <r>
    <d v="2036-12-18T00:00:00"/>
    <x v="14"/>
    <n v="24.3"/>
    <n v="15.8"/>
    <n v="3.8394000000000004"/>
  </r>
  <r>
    <d v="2036-12-19T00:00:00"/>
    <x v="3"/>
    <n v="10.8"/>
    <n v="0"/>
    <n v="0"/>
  </r>
  <r>
    <d v="2036-12-20T00:00:00"/>
    <x v="6"/>
    <n v="19"/>
    <n v="9.1"/>
    <n v="1.7290000000000001"/>
  </r>
  <r>
    <d v="2036-12-21T00:00:00"/>
    <x v="11"/>
    <n v="27.8"/>
    <n v="15.2"/>
    <n v="4.2256"/>
  </r>
  <r>
    <d v="2036-12-22T00:00:00"/>
    <x v="3"/>
    <n v="28.8"/>
    <n v="0"/>
    <n v="0"/>
  </r>
  <r>
    <d v="2036-12-23T00:00:00"/>
    <x v="1"/>
    <n v="12.6"/>
    <n v="0.8"/>
    <n v="0.1008"/>
  </r>
  <r>
    <d v="2036-12-24T00:00:00"/>
    <x v="1"/>
    <n v="20.7"/>
    <n v="0"/>
    <n v="0"/>
  </r>
  <r>
    <d v="2036-12-25T00:00:00"/>
    <x v="15"/>
    <n v="19.399999999999999"/>
    <n v="19.3"/>
    <n v="3.7441999999999998"/>
  </r>
  <r>
    <d v="2036-12-26T00:00:00"/>
    <x v="6"/>
    <n v="24.3"/>
    <n v="8.8000000000000007"/>
    <n v="2.1384000000000003"/>
  </r>
  <r>
    <d v="2036-12-27T00:00:00"/>
    <x v="15"/>
    <n v="21.2"/>
    <n v="36"/>
    <n v="7.6319999999999997"/>
  </r>
  <r>
    <d v="2036-12-28T00:00:00"/>
    <x v="1"/>
    <n v="28.4"/>
    <n v="0"/>
    <n v="0"/>
  </r>
  <r>
    <d v="2036-12-29T00:00:00"/>
    <x v="23"/>
    <n v="17.100000000000001"/>
    <n v="5.4"/>
    <n v="0.92340000000000022"/>
  </r>
  <r>
    <d v="2036-12-30T00:00:00"/>
    <x v="6"/>
    <n v="24.4"/>
    <n v="23.8"/>
    <n v="5.8071999999999999"/>
  </r>
  <r>
    <d v="2036-12-31T00:00:00"/>
    <x v="14"/>
    <n v="18.5"/>
    <n v="6"/>
    <n v="1.1100000000000001"/>
  </r>
  <r>
    <d v="2037-01-01T00:00:00"/>
    <x v="15"/>
    <n v="24.1"/>
    <n v="21.5"/>
    <n v="5.1814999999999998"/>
  </r>
  <r>
    <d v="2037-01-02T00:00:00"/>
    <x v="18"/>
    <n v="17.899999999999999"/>
    <n v="5.4"/>
    <n v="0.96660000000000001"/>
  </r>
  <r>
    <d v="2037-01-03T00:00:00"/>
    <x v="18"/>
    <n v="15.8"/>
    <n v="7.4"/>
    <n v="1.1692000000000002"/>
  </r>
  <r>
    <d v="2037-01-04T00:00:00"/>
    <x v="26"/>
    <n v="19.600000000000001"/>
    <n v="0.3"/>
    <n v="5.8799999999999998E-2"/>
  </r>
  <r>
    <d v="2037-01-05T00:00:00"/>
    <x v="15"/>
    <n v="17.7"/>
    <n v="0"/>
    <n v="0"/>
  </r>
  <r>
    <d v="2037-01-06T00:00:00"/>
    <x v="23"/>
    <n v="19.899999999999999"/>
    <n v="4.7"/>
    <n v="0.93530000000000002"/>
  </r>
  <r>
    <d v="2037-01-07T00:00:00"/>
    <x v="1"/>
    <n v="10.6"/>
    <n v="4.8"/>
    <n v="0.50879999999999992"/>
  </r>
  <r>
    <d v="2037-01-08T00:00:00"/>
    <x v="15"/>
    <n v="25.6"/>
    <n v="17.399999999999999"/>
    <n v="4.4543999999999997"/>
  </r>
  <r>
    <d v="2037-01-09T00:00:00"/>
    <x v="5"/>
    <n v="22.4"/>
    <n v="7.7"/>
    <n v="1.7247999999999999"/>
  </r>
  <r>
    <d v="2037-01-10T00:00:00"/>
    <x v="4"/>
    <n v="14.5"/>
    <n v="3.8"/>
    <n v="0.55099999999999993"/>
  </r>
  <r>
    <d v="2037-01-11T00:00:00"/>
    <x v="5"/>
    <n v="15"/>
    <n v="4.2"/>
    <n v="0.63"/>
  </r>
  <r>
    <d v="2037-01-12T00:00:00"/>
    <x v="9"/>
    <n v="24"/>
    <n v="11.5"/>
    <n v="2.76"/>
  </r>
  <r>
    <d v="2037-01-13T00:00:00"/>
    <x v="19"/>
    <n v="20.7"/>
    <n v="2.9"/>
    <n v="0.60029999999999994"/>
  </r>
  <r>
    <d v="2037-01-14T00:00:00"/>
    <x v="24"/>
    <n v="13.5"/>
    <n v="0.7"/>
    <n v="9.4499999999999987E-2"/>
  </r>
  <r>
    <d v="2037-01-15T00:00:00"/>
    <x v="15"/>
    <n v="23.7"/>
    <n v="13.1"/>
    <n v="3.1046999999999998"/>
  </r>
  <r>
    <d v="2037-01-16T00:00:00"/>
    <x v="6"/>
    <n v="12.1"/>
    <n v="36"/>
    <n v="4.3559999999999999"/>
  </r>
  <r>
    <d v="2037-01-17T00:00:00"/>
    <x v="9"/>
    <n v="21.8"/>
    <n v="10.9"/>
    <n v="2.3761999999999999"/>
  </r>
  <r>
    <d v="2037-01-18T00:00:00"/>
    <x v="18"/>
    <n v="17.399999999999999"/>
    <n v="0"/>
    <n v="0"/>
  </r>
  <r>
    <d v="2037-01-19T00:00:00"/>
    <x v="2"/>
    <n v="15.6"/>
    <n v="0"/>
    <n v="0"/>
  </r>
  <r>
    <d v="2037-01-20T00:00:00"/>
    <x v="9"/>
    <n v="13.7"/>
    <n v="0"/>
    <n v="0"/>
  </r>
  <r>
    <d v="2037-01-21T00:00:00"/>
    <x v="6"/>
    <n v="24.7"/>
    <n v="16.2"/>
    <n v="4.0014000000000003"/>
  </r>
  <r>
    <d v="2037-01-22T00:00:00"/>
    <x v="11"/>
    <n v="25.3"/>
    <n v="14.2"/>
    <n v="3.5926"/>
  </r>
  <r>
    <d v="2037-01-23T00:00:00"/>
    <x v="11"/>
    <n v="18.399999999999999"/>
    <n v="0"/>
    <n v="0"/>
  </r>
  <r>
    <d v="2037-01-24T00:00:00"/>
    <x v="10"/>
    <n v="10.199999999999999"/>
    <n v="0"/>
    <n v="0"/>
  </r>
  <r>
    <d v="2037-01-25T00:00:00"/>
    <x v="29"/>
    <n v="26.9"/>
    <n v="0"/>
    <n v="0"/>
  </r>
  <r>
    <d v="2037-01-26T00:00:00"/>
    <x v="4"/>
    <n v="28.2"/>
    <n v="0"/>
    <n v="0"/>
  </r>
  <r>
    <d v="2037-01-27T00:00:00"/>
    <x v="3"/>
    <n v="15.9"/>
    <n v="0"/>
    <n v="0"/>
  </r>
  <r>
    <d v="2037-01-28T00:00:00"/>
    <x v="6"/>
    <n v="19.7"/>
    <n v="0"/>
    <n v="0"/>
  </r>
  <r>
    <d v="2037-01-29T00:00:00"/>
    <x v="3"/>
    <n v="16"/>
    <n v="0"/>
    <n v="0"/>
  </r>
  <r>
    <d v="2037-01-30T00:00:00"/>
    <x v="2"/>
    <n v="20.8"/>
    <n v="0"/>
    <n v="0"/>
  </r>
  <r>
    <d v="2037-01-31T00:00:00"/>
    <x v="19"/>
    <n v="12.5"/>
    <n v="0"/>
    <n v="0"/>
  </r>
  <r>
    <d v="2037-02-01T00:00:00"/>
    <x v="11"/>
    <n v="12.7"/>
    <n v="2.4"/>
    <n v="0.30479999999999996"/>
  </r>
  <r>
    <d v="2037-02-02T00:00:00"/>
    <x v="14"/>
    <n v="23.5"/>
    <n v="11.5"/>
    <n v="2.7025000000000001"/>
  </r>
  <r>
    <d v="2037-02-03T00:00:00"/>
    <x v="10"/>
    <n v="17.8"/>
    <n v="1.8"/>
    <n v="0.32040000000000002"/>
  </r>
  <r>
    <d v="2037-02-04T00:00:00"/>
    <x v="7"/>
    <n v="11"/>
    <n v="0"/>
    <n v="0"/>
  </r>
  <r>
    <d v="2037-02-05T00:00:00"/>
    <x v="8"/>
    <n v="21.3"/>
    <n v="5.2"/>
    <n v="1.1076000000000001"/>
  </r>
  <r>
    <d v="2037-02-06T00:00:00"/>
    <x v="3"/>
    <n v="19.600000000000001"/>
    <n v="8.1"/>
    <n v="1.5875999999999999"/>
  </r>
  <r>
    <d v="2037-02-07T00:00:00"/>
    <x v="7"/>
    <n v="25.7"/>
    <n v="4.2"/>
    <n v="1.0793999999999999"/>
  </r>
  <r>
    <d v="2037-02-08T00:00:00"/>
    <x v="6"/>
    <n v="20.9"/>
    <n v="28.6"/>
    <n v="5.9774000000000003"/>
  </r>
  <r>
    <d v="2037-02-09T00:00:00"/>
    <x v="15"/>
    <n v="26.4"/>
    <n v="3.2"/>
    <n v="0.8448"/>
  </r>
  <r>
    <d v="2037-02-10T00:00:00"/>
    <x v="15"/>
    <n v="26.5"/>
    <n v="13.1"/>
    <n v="3.4714999999999998"/>
  </r>
  <r>
    <d v="2037-02-11T00:00:00"/>
    <x v="4"/>
    <n v="11.7"/>
    <n v="0"/>
    <n v="0"/>
  </r>
  <r>
    <d v="2037-02-12T00:00:00"/>
    <x v="8"/>
    <n v="24.7"/>
    <n v="0.3"/>
    <n v="7.4099999999999999E-2"/>
  </r>
  <r>
    <d v="2037-02-13T00:00:00"/>
    <x v="5"/>
    <n v="24.4"/>
    <n v="9.6"/>
    <n v="2.3423999999999996"/>
  </r>
  <r>
    <d v="2037-02-14T00:00:00"/>
    <x v="15"/>
    <n v="19"/>
    <n v="28.8"/>
    <n v="5.4720000000000004"/>
  </r>
  <r>
    <d v="2037-02-15T00:00:00"/>
    <x v="6"/>
    <n v="13.7"/>
    <n v="19.3"/>
    <n v="2.6440999999999999"/>
  </r>
  <r>
    <d v="2037-02-16T00:00:00"/>
    <x v="6"/>
    <n v="28.9"/>
    <n v="20.399999999999999"/>
    <n v="5.8955999999999991"/>
  </r>
  <r>
    <d v="2037-02-17T00:00:00"/>
    <x v="16"/>
    <n v="25.2"/>
    <n v="0"/>
    <n v="0"/>
  </r>
  <r>
    <d v="2037-02-18T00:00:00"/>
    <x v="7"/>
    <n v="15.4"/>
    <n v="9"/>
    <n v="1.3859999999999999"/>
  </r>
  <r>
    <d v="2037-02-19T00:00:00"/>
    <x v="12"/>
    <n v="24.1"/>
    <n v="0.3"/>
    <n v="7.2300000000000003E-2"/>
  </r>
  <r>
    <d v="2037-02-20T00:00:00"/>
    <x v="18"/>
    <n v="27.7"/>
    <n v="0"/>
    <n v="0"/>
  </r>
  <r>
    <d v="2037-02-21T00:00:00"/>
    <x v="7"/>
    <n v="19.600000000000001"/>
    <n v="21.1"/>
    <n v="4.1356000000000002"/>
  </r>
  <r>
    <d v="2037-02-22T00:00:00"/>
    <x v="19"/>
    <n v="29"/>
    <n v="3.2"/>
    <n v="0.92800000000000016"/>
  </r>
  <r>
    <d v="2037-02-23T00:00:00"/>
    <x v="27"/>
    <n v="10.3"/>
    <n v="0.7"/>
    <n v="7.2099999999999997E-2"/>
  </r>
  <r>
    <d v="2037-02-24T00:00:00"/>
    <x v="6"/>
    <n v="11"/>
    <n v="40.200000000000003"/>
    <n v="4.4220000000000006"/>
  </r>
  <r>
    <d v="2037-02-25T00:00:00"/>
    <x v="7"/>
    <n v="28.6"/>
    <n v="0.6"/>
    <n v="0.1716"/>
  </r>
  <r>
    <d v="2037-02-26T00:00:00"/>
    <x v="13"/>
    <n v="22.5"/>
    <n v="1"/>
    <n v="0.22500000000000001"/>
  </r>
  <r>
    <d v="2037-02-27T00:00:00"/>
    <x v="8"/>
    <n v="19.600000000000001"/>
    <n v="0"/>
    <n v="0"/>
  </r>
  <r>
    <d v="2037-02-28T00:00:00"/>
    <x v="24"/>
    <n v="19.899999999999999"/>
    <n v="0"/>
    <n v="0"/>
  </r>
  <r>
    <d v="2037-03-01T00:00:00"/>
    <x v="2"/>
    <n v="21.7"/>
    <n v="9.4"/>
    <n v="2.0398000000000001"/>
  </r>
  <r>
    <d v="2037-03-02T00:00:00"/>
    <x v="8"/>
    <n v="15.3"/>
    <n v="0"/>
    <n v="0"/>
  </r>
  <r>
    <d v="2037-03-03T00:00:00"/>
    <x v="11"/>
    <n v="20.9"/>
    <n v="12.4"/>
    <n v="2.5915999999999997"/>
  </r>
  <r>
    <d v="2037-03-04T00:00:00"/>
    <x v="1"/>
    <n v="17"/>
    <n v="0"/>
    <n v="0"/>
  </r>
  <r>
    <d v="2037-03-05T00:00:00"/>
    <x v="2"/>
    <n v="25.8"/>
    <n v="1.4"/>
    <n v="0.36119999999999997"/>
  </r>
  <r>
    <d v="2037-03-06T00:00:00"/>
    <x v="23"/>
    <n v="19.100000000000001"/>
    <n v="2.5"/>
    <n v="0.47749999999999998"/>
  </r>
  <r>
    <d v="2037-03-07T00:00:00"/>
    <x v="9"/>
    <n v="24.6"/>
    <n v="12.5"/>
    <n v="3.0750000000000002"/>
  </r>
  <r>
    <d v="2037-03-08T00:00:00"/>
    <x v="11"/>
    <n v="22.6"/>
    <n v="15.4"/>
    <n v="3.4804000000000004"/>
  </r>
  <r>
    <d v="2037-03-09T00:00:00"/>
    <x v="5"/>
    <n v="18.3"/>
    <n v="4.7"/>
    <n v="0.86010000000000009"/>
  </r>
  <r>
    <d v="2037-03-10T00:00:00"/>
    <x v="3"/>
    <n v="25.5"/>
    <n v="0"/>
    <n v="0"/>
  </r>
  <r>
    <d v="2037-03-11T00:00:00"/>
    <x v="14"/>
    <n v="26.6"/>
    <n v="0"/>
    <n v="0"/>
  </r>
  <r>
    <d v="2037-03-12T00:00:00"/>
    <x v="3"/>
    <n v="19.8"/>
    <n v="14.9"/>
    <n v="2.9502000000000006"/>
  </r>
  <r>
    <d v="2037-03-13T00:00:00"/>
    <x v="22"/>
    <n v="23.7"/>
    <n v="0.9"/>
    <n v="0.21329999999999999"/>
  </r>
  <r>
    <d v="2037-03-14T00:00:00"/>
    <x v="20"/>
    <n v="23.5"/>
    <n v="1"/>
    <n v="0.23499999999999999"/>
  </r>
  <r>
    <d v="2037-03-15T00:00:00"/>
    <x v="1"/>
    <n v="18.8"/>
    <n v="7.8"/>
    <n v="1.4664000000000001"/>
  </r>
  <r>
    <d v="2037-03-16T00:00:00"/>
    <x v="2"/>
    <n v="18.7"/>
    <n v="10"/>
    <n v="1.87"/>
  </r>
  <r>
    <d v="2037-03-17T00:00:00"/>
    <x v="15"/>
    <n v="28.3"/>
    <n v="21.8"/>
    <n v="6.1694000000000004"/>
  </r>
  <r>
    <d v="2037-03-18T00:00:00"/>
    <x v="18"/>
    <n v="10.6"/>
    <n v="6.4"/>
    <n v="0.6784"/>
  </r>
  <r>
    <d v="2037-03-19T00:00:00"/>
    <x v="6"/>
    <n v="26.2"/>
    <n v="19.2"/>
    <n v="5.0303999999999993"/>
  </r>
  <r>
    <d v="2037-03-20T00:00:00"/>
    <x v="9"/>
    <n v="25.3"/>
    <n v="8.6999999999999993"/>
    <n v="2.2010999999999998"/>
  </r>
  <r>
    <d v="2037-03-21T00:00:00"/>
    <x v="18"/>
    <n v="21.6"/>
    <n v="1"/>
    <n v="0.21600000000000003"/>
  </r>
  <r>
    <d v="2037-03-22T00:00:00"/>
    <x v="15"/>
    <n v="24.9"/>
    <n v="23.5"/>
    <n v="5.8514999999999997"/>
  </r>
  <r>
    <d v="2037-03-23T00:00:00"/>
    <x v="11"/>
    <n v="27.7"/>
    <n v="11.5"/>
    <n v="3.1855000000000002"/>
  </r>
  <r>
    <d v="2037-03-24T00:00:00"/>
    <x v="15"/>
    <n v="12.3"/>
    <n v="0"/>
    <n v="0"/>
  </r>
  <r>
    <d v="2037-03-25T00:00:00"/>
    <x v="16"/>
    <n v="10.199999999999999"/>
    <n v="0.8"/>
    <n v="8.1600000000000006E-2"/>
  </r>
  <r>
    <d v="2037-03-26T00:00:00"/>
    <x v="6"/>
    <n v="23.1"/>
    <n v="0"/>
    <n v="0"/>
  </r>
  <r>
    <d v="2037-03-27T00:00:00"/>
    <x v="14"/>
    <n v="11.3"/>
    <n v="0"/>
    <n v="0"/>
  </r>
  <r>
    <d v="2037-03-28T00:00:00"/>
    <x v="15"/>
    <n v="29.5"/>
    <n v="10.4"/>
    <n v="3.0680000000000001"/>
  </r>
  <r>
    <d v="2037-03-29T00:00:00"/>
    <x v="11"/>
    <n v="19.7"/>
    <n v="0"/>
    <n v="0"/>
  </r>
  <r>
    <d v="2037-03-30T00:00:00"/>
    <x v="1"/>
    <n v="27.9"/>
    <n v="3.4"/>
    <n v="0.9486"/>
  </r>
  <r>
    <d v="2037-03-31T00:00:00"/>
    <x v="6"/>
    <n v="17.399999999999999"/>
    <n v="34.200000000000003"/>
    <n v="5.9508000000000001"/>
  </r>
  <r>
    <d v="2037-04-01T00:00:00"/>
    <x v="13"/>
    <n v="23"/>
    <n v="0"/>
    <n v="0"/>
  </r>
  <r>
    <d v="2037-04-02T00:00:00"/>
    <x v="17"/>
    <n v="27.6"/>
    <n v="0"/>
    <n v="0"/>
  </r>
  <r>
    <d v="2037-04-03T00:00:00"/>
    <x v="18"/>
    <n v="11.6"/>
    <n v="0"/>
    <n v="0"/>
  </r>
  <r>
    <d v="2037-04-04T00:00:00"/>
    <x v="16"/>
    <n v="24.2"/>
    <n v="5"/>
    <n v="1.21"/>
  </r>
  <r>
    <d v="2037-04-05T00:00:00"/>
    <x v="2"/>
    <n v="13.2"/>
    <n v="2.2999999999999998"/>
    <n v="0.30359999999999998"/>
  </r>
  <r>
    <d v="2037-04-06T00:00:00"/>
    <x v="3"/>
    <n v="27"/>
    <n v="0.7"/>
    <n v="0.18899999999999997"/>
  </r>
  <r>
    <d v="2037-04-07T00:00:00"/>
    <x v="2"/>
    <n v="23.9"/>
    <n v="6.2"/>
    <n v="1.4818"/>
  </r>
  <r>
    <d v="2037-04-08T00:00:00"/>
    <x v="15"/>
    <n v="16.8"/>
    <n v="17.600000000000001"/>
    <n v="2.9568000000000008"/>
  </r>
  <r>
    <d v="2037-04-09T00:00:00"/>
    <x v="15"/>
    <n v="28.5"/>
    <n v="15.2"/>
    <n v="4.3319999999999999"/>
  </r>
  <r>
    <d v="2037-04-10T00:00:00"/>
    <x v="29"/>
    <n v="25.2"/>
    <n v="1.9"/>
    <n v="0.47879999999999995"/>
  </r>
  <r>
    <d v="2037-04-11T00:00:00"/>
    <x v="6"/>
    <n v="24.9"/>
    <n v="6.8"/>
    <n v="1.6932"/>
  </r>
  <r>
    <d v="2037-04-12T00:00:00"/>
    <x v="8"/>
    <n v="14.7"/>
    <n v="5.7"/>
    <n v="0.83789999999999987"/>
  </r>
  <r>
    <d v="2037-04-13T00:00:00"/>
    <x v="6"/>
    <n v="12.2"/>
    <n v="14.1"/>
    <n v="1.7201999999999997"/>
  </r>
  <r>
    <d v="2037-04-14T00:00:00"/>
    <x v="5"/>
    <n v="24.2"/>
    <n v="8"/>
    <n v="1.9359999999999999"/>
  </r>
  <r>
    <d v="2037-04-15T00:00:00"/>
    <x v="18"/>
    <n v="28.7"/>
    <n v="0"/>
    <n v="0"/>
  </r>
  <r>
    <d v="2037-04-16T00:00:00"/>
    <x v="6"/>
    <n v="28.5"/>
    <n v="0"/>
    <n v="0"/>
  </r>
  <r>
    <d v="2037-04-17T00:00:00"/>
    <x v="3"/>
    <n v="29.3"/>
    <n v="23.3"/>
    <n v="6.8269000000000002"/>
  </r>
  <r>
    <d v="2037-04-18T00:00:00"/>
    <x v="6"/>
    <n v="13.3"/>
    <n v="4.9000000000000004"/>
    <n v="0.65170000000000006"/>
  </r>
  <r>
    <d v="2037-04-19T00:00:00"/>
    <x v="6"/>
    <n v="22.6"/>
    <n v="0.7"/>
    <n v="0.15820000000000001"/>
  </r>
  <r>
    <d v="2037-04-20T00:00:00"/>
    <x v="16"/>
    <n v="19.3"/>
    <n v="3"/>
    <n v="0.57900000000000007"/>
  </r>
  <r>
    <d v="2037-04-21T00:00:00"/>
    <x v="4"/>
    <n v="17.899999999999999"/>
    <n v="5.0999999999999996"/>
    <n v="0.91289999999999993"/>
  </r>
  <r>
    <d v="2037-04-22T00:00:00"/>
    <x v="16"/>
    <n v="16.7"/>
    <n v="0.3"/>
    <n v="5.0099999999999999E-2"/>
  </r>
  <r>
    <d v="2037-04-23T00:00:00"/>
    <x v="16"/>
    <n v="22"/>
    <n v="0"/>
    <n v="0"/>
  </r>
  <r>
    <d v="2037-04-24T00:00:00"/>
    <x v="5"/>
    <n v="21.2"/>
    <n v="5.9"/>
    <n v="1.2507999999999999"/>
  </r>
  <r>
    <d v="2037-04-25T00:00:00"/>
    <x v="7"/>
    <n v="20.6"/>
    <n v="4.5999999999999996"/>
    <n v="0.9476"/>
  </r>
  <r>
    <d v="2037-04-26T00:00:00"/>
    <x v="15"/>
    <n v="29.4"/>
    <n v="9.1999999999999993"/>
    <n v="2.7047999999999996"/>
  </r>
  <r>
    <d v="2037-04-27T00:00:00"/>
    <x v="3"/>
    <n v="21.3"/>
    <n v="0"/>
    <n v="0"/>
  </r>
  <r>
    <d v="2037-04-28T00:00:00"/>
    <x v="5"/>
    <n v="20.100000000000001"/>
    <n v="2.2000000000000002"/>
    <n v="0.44220000000000004"/>
  </r>
  <r>
    <d v="2037-04-29T00:00:00"/>
    <x v="6"/>
    <n v="12.7"/>
    <n v="5.6"/>
    <n v="0.71119999999999994"/>
  </r>
  <r>
    <d v="2037-04-30T00:00:00"/>
    <x v="7"/>
    <n v="28.9"/>
    <n v="0"/>
    <n v="0"/>
  </r>
  <r>
    <d v="2037-05-01T00:00:00"/>
    <x v="15"/>
    <n v="24.4"/>
    <n v="28.7"/>
    <n v="7.0027999999999997"/>
  </r>
  <r>
    <d v="2037-05-02T00:00:00"/>
    <x v="6"/>
    <n v="10.8"/>
    <n v="0"/>
    <n v="0"/>
  </r>
  <r>
    <d v="2037-05-03T00:00:00"/>
    <x v="6"/>
    <n v="18.399999999999999"/>
    <n v="0"/>
    <n v="0"/>
  </r>
  <r>
    <d v="2037-05-04T00:00:00"/>
    <x v="15"/>
    <n v="23.3"/>
    <n v="10.7"/>
    <n v="2.4931000000000001"/>
  </r>
  <r>
    <d v="2037-05-05T00:00:00"/>
    <x v="11"/>
    <n v="27.9"/>
    <n v="14.8"/>
    <n v="4.1292"/>
  </r>
  <r>
    <d v="2037-05-06T00:00:00"/>
    <x v="8"/>
    <n v="24.7"/>
    <n v="9"/>
    <n v="2.2229999999999999"/>
  </r>
  <r>
    <d v="2037-05-07T00:00:00"/>
    <x v="15"/>
    <n v="14.3"/>
    <n v="22"/>
    <n v="3.1460000000000004"/>
  </r>
  <r>
    <d v="2037-05-08T00:00:00"/>
    <x v="29"/>
    <n v="26.2"/>
    <n v="2"/>
    <n v="0.52400000000000002"/>
  </r>
  <r>
    <d v="2037-05-09T00:00:00"/>
    <x v="12"/>
    <n v="21.5"/>
    <n v="0.4"/>
    <n v="8.5999999999999993E-2"/>
  </r>
  <r>
    <d v="2037-05-10T00:00:00"/>
    <x v="6"/>
    <n v="12.8"/>
    <n v="0"/>
    <n v="0"/>
  </r>
  <r>
    <d v="2037-05-11T00:00:00"/>
    <x v="5"/>
    <n v="24.6"/>
    <n v="3"/>
    <n v="0.7380000000000001"/>
  </r>
  <r>
    <d v="2037-05-12T00:00:00"/>
    <x v="23"/>
    <n v="22.6"/>
    <n v="1.6"/>
    <n v="0.36160000000000003"/>
  </r>
  <r>
    <d v="2037-05-13T00:00:00"/>
    <x v="9"/>
    <n v="27.3"/>
    <n v="9.3000000000000007"/>
    <n v="2.5388999999999999"/>
  </r>
  <r>
    <d v="2037-05-14T00:00:00"/>
    <x v="15"/>
    <n v="10.8"/>
    <n v="22.2"/>
    <n v="2.3976000000000002"/>
  </r>
  <r>
    <d v="2037-05-15T00:00:00"/>
    <x v="13"/>
    <n v="12"/>
    <n v="5.3"/>
    <n v="0.6359999999999999"/>
  </r>
  <r>
    <d v="2037-05-16T00:00:00"/>
    <x v="3"/>
    <n v="28.1"/>
    <n v="0"/>
    <n v="0"/>
  </r>
  <r>
    <d v="2037-05-17T00:00:00"/>
    <x v="7"/>
    <n v="16.100000000000001"/>
    <n v="9"/>
    <n v="1.4490000000000001"/>
  </r>
  <r>
    <d v="2037-05-18T00:00:00"/>
    <x v="14"/>
    <n v="29"/>
    <n v="1.6"/>
    <n v="0.46400000000000008"/>
  </r>
  <r>
    <d v="2037-05-19T00:00:00"/>
    <x v="7"/>
    <n v="23.6"/>
    <n v="16"/>
    <n v="3.7760000000000002"/>
  </r>
  <r>
    <d v="2037-05-20T00:00:00"/>
    <x v="15"/>
    <n v="11.6"/>
    <n v="32"/>
    <n v="3.7119999999999997"/>
  </r>
  <r>
    <d v="2037-05-21T00:00:00"/>
    <x v="11"/>
    <n v="15.9"/>
    <n v="5.5"/>
    <n v="0.87450000000000006"/>
  </r>
  <r>
    <d v="2037-05-22T00:00:00"/>
    <x v="22"/>
    <n v="28.3"/>
    <n v="6"/>
    <n v="1.6980000000000002"/>
  </r>
  <r>
    <d v="2037-05-23T00:00:00"/>
    <x v="8"/>
    <n v="16.600000000000001"/>
    <n v="11.3"/>
    <n v="1.8758000000000004"/>
  </r>
  <r>
    <d v="2037-05-24T00:00:00"/>
    <x v="18"/>
    <n v="25.2"/>
    <n v="6.4"/>
    <n v="1.6128"/>
  </r>
  <r>
    <d v="2037-05-25T00:00:00"/>
    <x v="6"/>
    <n v="29.5"/>
    <n v="26.1"/>
    <n v="7.6995000000000005"/>
  </r>
  <r>
    <d v="2037-05-26T00:00:00"/>
    <x v="14"/>
    <n v="13.3"/>
    <n v="7.3"/>
    <n v="0.97089999999999999"/>
  </r>
  <r>
    <d v="2037-05-27T00:00:00"/>
    <x v="13"/>
    <n v="19.5"/>
    <n v="3.4"/>
    <n v="0.66299999999999992"/>
  </r>
  <r>
    <d v="2037-05-28T00:00:00"/>
    <x v="21"/>
    <n v="11.9"/>
    <n v="1.7"/>
    <n v="0.20230000000000001"/>
  </r>
  <r>
    <d v="2037-05-29T00:00:00"/>
    <x v="10"/>
    <n v="29.5"/>
    <n v="5.0999999999999996"/>
    <n v="1.5044999999999999"/>
  </r>
  <r>
    <d v="2037-05-30T00:00:00"/>
    <x v="15"/>
    <n v="25.1"/>
    <n v="0"/>
    <n v="0"/>
  </r>
  <r>
    <d v="2037-05-31T00:00:00"/>
    <x v="18"/>
    <n v="15.1"/>
    <n v="0"/>
    <n v="0"/>
  </r>
  <r>
    <d v="2037-06-01T00:00:00"/>
    <x v="29"/>
    <n v="19.7"/>
    <n v="1.7"/>
    <n v="0.33489999999999998"/>
  </r>
  <r>
    <d v="2037-06-02T00:00:00"/>
    <x v="15"/>
    <n v="25.6"/>
    <n v="0"/>
    <n v="0"/>
  </r>
  <r>
    <d v="2037-06-03T00:00:00"/>
    <x v="7"/>
    <n v="25"/>
    <n v="18.8"/>
    <n v="4.7"/>
  </r>
  <r>
    <d v="2037-06-04T00:00:00"/>
    <x v="19"/>
    <n v="11.5"/>
    <n v="0"/>
    <n v="0"/>
  </r>
  <r>
    <d v="2037-06-05T00:00:00"/>
    <x v="6"/>
    <n v="23.8"/>
    <n v="7.3"/>
    <n v="1.7374000000000001"/>
  </r>
  <r>
    <d v="2037-06-06T00:00:00"/>
    <x v="15"/>
    <n v="25.3"/>
    <n v="14.7"/>
    <n v="3.7190999999999996"/>
  </r>
  <r>
    <d v="2037-06-07T00:00:00"/>
    <x v="6"/>
    <n v="22.6"/>
    <n v="42.2"/>
    <n v="9.5372000000000021"/>
  </r>
  <r>
    <d v="2037-06-08T00:00:00"/>
    <x v="10"/>
    <n v="18.100000000000001"/>
    <n v="3.3"/>
    <n v="0.59730000000000005"/>
  </r>
  <r>
    <d v="2037-06-09T00:00:00"/>
    <x v="15"/>
    <n v="17.8"/>
    <n v="0"/>
    <n v="0"/>
  </r>
  <r>
    <d v="2037-06-10T00:00:00"/>
    <x v="6"/>
    <n v="25.1"/>
    <n v="25.5"/>
    <n v="6.400500000000001"/>
  </r>
  <r>
    <d v="2037-06-11T00:00:00"/>
    <x v="14"/>
    <n v="12"/>
    <n v="0"/>
    <n v="0"/>
  </r>
  <r>
    <d v="2037-06-12T00:00:00"/>
    <x v="6"/>
    <n v="23.2"/>
    <n v="0"/>
    <n v="0"/>
  </r>
  <r>
    <d v="2037-06-13T00:00:00"/>
    <x v="2"/>
    <n v="16"/>
    <n v="7.9"/>
    <n v="1.264"/>
  </r>
  <r>
    <d v="2037-06-14T00:00:00"/>
    <x v="11"/>
    <n v="26.5"/>
    <n v="20.2"/>
    <n v="5.3529999999999998"/>
  </r>
  <r>
    <d v="2037-06-15T00:00:00"/>
    <x v="25"/>
    <n v="28.9"/>
    <n v="0.3"/>
    <n v="8.6699999999999999E-2"/>
  </r>
  <r>
    <d v="2037-06-16T00:00:00"/>
    <x v="6"/>
    <n v="26.6"/>
    <n v="0"/>
    <n v="0"/>
  </r>
  <r>
    <d v="2037-06-17T00:00:00"/>
    <x v="3"/>
    <n v="13.1"/>
    <n v="19.899999999999999"/>
    <n v="2.6069"/>
  </r>
  <r>
    <d v="2037-06-18T00:00:00"/>
    <x v="6"/>
    <n v="21.5"/>
    <n v="33.4"/>
    <n v="7.181"/>
  </r>
  <r>
    <d v="2037-06-19T00:00:00"/>
    <x v="27"/>
    <n v="25.7"/>
    <n v="0"/>
    <n v="0"/>
  </r>
  <r>
    <d v="2037-06-20T00:00:00"/>
    <x v="15"/>
    <n v="11.8"/>
    <n v="23"/>
    <n v="2.7140000000000004"/>
  </r>
  <r>
    <d v="2037-06-21T00:00:00"/>
    <x v="21"/>
    <n v="12.6"/>
    <n v="0.7"/>
    <n v="8.8199999999999987E-2"/>
  </r>
  <r>
    <d v="2037-06-22T00:00:00"/>
    <x v="23"/>
    <n v="26.2"/>
    <n v="0.3"/>
    <n v="7.8599999999999989E-2"/>
  </r>
  <r>
    <d v="2037-06-23T00:00:00"/>
    <x v="4"/>
    <n v="29.1"/>
    <n v="5"/>
    <n v="1.4550000000000001"/>
  </r>
  <r>
    <d v="2037-06-24T00:00:00"/>
    <x v="18"/>
    <n v="18.899999999999999"/>
    <n v="7.5"/>
    <n v="1.4175"/>
  </r>
  <r>
    <d v="2037-06-25T00:00:00"/>
    <x v="7"/>
    <n v="10.5"/>
    <n v="7.3"/>
    <n v="0.76649999999999996"/>
  </r>
  <r>
    <d v="2037-06-26T00:00:00"/>
    <x v="19"/>
    <n v="15.1"/>
    <n v="6"/>
    <n v="0.90599999999999992"/>
  </r>
  <r>
    <d v="2037-06-27T00:00:00"/>
    <x v="3"/>
    <n v="27.8"/>
    <n v="8.3000000000000007"/>
    <n v="2.3074000000000003"/>
  </r>
  <r>
    <d v="2037-06-28T00:00:00"/>
    <x v="12"/>
    <n v="11.7"/>
    <n v="0.4"/>
    <n v="4.6799999999999994E-2"/>
  </r>
  <r>
    <d v="2037-06-29T00:00:00"/>
    <x v="6"/>
    <n v="10.5"/>
    <n v="36.9"/>
    <n v="3.8744999999999998"/>
  </r>
  <r>
    <d v="2037-06-30T00:00:00"/>
    <x v="1"/>
    <n v="21"/>
    <n v="7.1"/>
    <n v="1.4909999999999999"/>
  </r>
  <r>
    <d v="2037-07-01T00:00:00"/>
    <x v="20"/>
    <n v="17.399999999999999"/>
    <n v="3.7"/>
    <n v="0.64379999999999993"/>
  </r>
  <r>
    <d v="2037-07-02T00:00:00"/>
    <x v="14"/>
    <n v="21.9"/>
    <n v="7.6"/>
    <n v="1.6643999999999997"/>
  </r>
  <r>
    <d v="2037-07-03T00:00:00"/>
    <x v="14"/>
    <n v="26"/>
    <n v="4.5999999999999996"/>
    <n v="1.196"/>
  </r>
  <r>
    <d v="2037-07-04T00:00:00"/>
    <x v="15"/>
    <n v="12.2"/>
    <n v="19.3"/>
    <n v="2.3546"/>
  </r>
  <r>
    <d v="2037-07-05T00:00:00"/>
    <x v="4"/>
    <n v="22.4"/>
    <n v="0.3"/>
    <n v="6.7199999999999996E-2"/>
  </r>
  <r>
    <d v="2037-07-06T00:00:00"/>
    <x v="18"/>
    <n v="18.600000000000001"/>
    <n v="7.2"/>
    <n v="1.3392000000000002"/>
  </r>
  <r>
    <d v="2037-07-07T00:00:00"/>
    <x v="6"/>
    <n v="17.100000000000001"/>
    <n v="0"/>
    <n v="0"/>
  </r>
  <r>
    <d v="2037-07-08T00:00:00"/>
    <x v="15"/>
    <n v="25.1"/>
    <n v="24.3"/>
    <n v="6.0993000000000004"/>
  </r>
  <r>
    <d v="2037-07-09T00:00:00"/>
    <x v="7"/>
    <n v="10.4"/>
    <n v="22.2"/>
    <n v="2.3087999999999997"/>
  </r>
  <r>
    <d v="2037-07-10T00:00:00"/>
    <x v="14"/>
    <n v="28.9"/>
    <n v="0"/>
    <n v="0"/>
  </r>
  <r>
    <d v="2037-07-11T00:00:00"/>
    <x v="27"/>
    <n v="24.1"/>
    <n v="0"/>
    <n v="0"/>
  </r>
  <r>
    <d v="2037-07-12T00:00:00"/>
    <x v="15"/>
    <n v="23.2"/>
    <n v="22.1"/>
    <n v="5.1272000000000002"/>
  </r>
  <r>
    <d v="2037-07-13T00:00:00"/>
    <x v="9"/>
    <n v="24.1"/>
    <n v="9.3000000000000007"/>
    <n v="2.2413000000000003"/>
  </r>
  <r>
    <d v="2037-07-14T00:00:00"/>
    <x v="6"/>
    <n v="14.6"/>
    <n v="0"/>
    <n v="0"/>
  </r>
  <r>
    <d v="2037-07-15T00:00:00"/>
    <x v="16"/>
    <n v="17.7"/>
    <n v="0"/>
    <n v="0"/>
  </r>
  <r>
    <d v="2037-07-16T00:00:00"/>
    <x v="2"/>
    <n v="20.100000000000001"/>
    <n v="11.5"/>
    <n v="2.3115000000000001"/>
  </r>
  <r>
    <d v="2037-07-17T00:00:00"/>
    <x v="4"/>
    <n v="27.5"/>
    <n v="0"/>
    <n v="0"/>
  </r>
  <r>
    <d v="2037-07-18T00:00:00"/>
    <x v="3"/>
    <n v="10.9"/>
    <n v="9"/>
    <n v="0.98100000000000009"/>
  </r>
  <r>
    <d v="2037-07-19T00:00:00"/>
    <x v="20"/>
    <n v="27.6"/>
    <n v="3.2"/>
    <n v="0.8832000000000001"/>
  </r>
  <r>
    <d v="2037-07-20T00:00:00"/>
    <x v="15"/>
    <n v="24.5"/>
    <n v="15.3"/>
    <n v="3.7485000000000004"/>
  </r>
  <r>
    <d v="2037-07-21T00:00:00"/>
    <x v="13"/>
    <n v="10.8"/>
    <n v="0"/>
    <n v="0"/>
  </r>
  <r>
    <d v="2037-07-22T00:00:00"/>
    <x v="15"/>
    <n v="28.7"/>
    <n v="27.2"/>
    <n v="7.8064"/>
  </r>
  <r>
    <d v="2037-07-23T00:00:00"/>
    <x v="5"/>
    <n v="21.5"/>
    <n v="0.6"/>
    <n v="0.129"/>
  </r>
  <r>
    <d v="2037-07-24T00:00:00"/>
    <x v="20"/>
    <n v="20.100000000000001"/>
    <n v="0.8"/>
    <n v="0.16080000000000003"/>
  </r>
  <r>
    <d v="2037-07-25T00:00:00"/>
    <x v="15"/>
    <n v="21.3"/>
    <n v="14.6"/>
    <n v="3.1098000000000003"/>
  </r>
  <r>
    <d v="2037-07-26T00:00:00"/>
    <x v="23"/>
    <n v="20.2"/>
    <n v="6.9"/>
    <n v="1.3937999999999999"/>
  </r>
  <r>
    <d v="2037-07-27T00:00:00"/>
    <x v="9"/>
    <n v="16.8"/>
    <n v="7.6"/>
    <n v="1.2767999999999999"/>
  </r>
  <r>
    <d v="2037-07-28T00:00:00"/>
    <x v="2"/>
    <n v="26.5"/>
    <n v="2.5"/>
    <n v="0.66249999999999998"/>
  </r>
  <r>
    <d v="2037-07-29T00:00:00"/>
    <x v="3"/>
    <n v="18.899999999999999"/>
    <n v="0"/>
    <n v="0"/>
  </r>
  <r>
    <d v="2037-07-30T00:00:00"/>
    <x v="16"/>
    <n v="22.9"/>
    <n v="1.2"/>
    <n v="0.27479999999999999"/>
  </r>
  <r>
    <d v="2037-07-31T00:00:00"/>
    <x v="15"/>
    <n v="11.3"/>
    <n v="32.700000000000003"/>
    <n v="3.6951000000000005"/>
  </r>
  <r>
    <d v="2037-08-01T00:00:00"/>
    <x v="9"/>
    <n v="13"/>
    <n v="1.7"/>
    <n v="0.22099999999999997"/>
  </r>
  <r>
    <d v="2037-08-02T00:00:00"/>
    <x v="4"/>
    <n v="18.3"/>
    <n v="2.5"/>
    <n v="0.45750000000000002"/>
  </r>
  <r>
    <d v="2037-08-03T00:00:00"/>
    <x v="3"/>
    <n v="10.199999999999999"/>
    <n v="14.3"/>
    <n v="1.4585999999999999"/>
  </r>
  <r>
    <d v="2037-08-04T00:00:00"/>
    <x v="7"/>
    <n v="14.5"/>
    <n v="10.5"/>
    <n v="1.5225"/>
  </r>
  <r>
    <d v="2037-08-05T00:00:00"/>
    <x v="10"/>
    <n v="12.3"/>
    <n v="7.4"/>
    <n v="0.91020000000000012"/>
  </r>
  <r>
    <d v="2037-08-06T00:00:00"/>
    <x v="9"/>
    <n v="17"/>
    <n v="16.899999999999999"/>
    <n v="2.8729999999999993"/>
  </r>
  <r>
    <d v="2037-08-07T00:00:00"/>
    <x v="1"/>
    <n v="17.5"/>
    <n v="0"/>
    <n v="0"/>
  </r>
  <r>
    <d v="2037-08-08T00:00:00"/>
    <x v="0"/>
    <n v="28.4"/>
    <n v="0"/>
    <n v="0"/>
  </r>
  <r>
    <d v="2037-08-09T00:00:00"/>
    <x v="15"/>
    <n v="13.1"/>
    <n v="36.6"/>
    <n v="4.7946"/>
  </r>
  <r>
    <d v="2037-08-10T00:00:00"/>
    <x v="3"/>
    <n v="16.600000000000001"/>
    <n v="6.6"/>
    <n v="1.0956000000000001"/>
  </r>
  <r>
    <d v="2037-08-11T00:00:00"/>
    <x v="15"/>
    <n v="20.2"/>
    <n v="0"/>
    <n v="0"/>
  </r>
  <r>
    <d v="2037-08-12T00:00:00"/>
    <x v="3"/>
    <n v="26.4"/>
    <n v="11.9"/>
    <n v="3.1415999999999995"/>
  </r>
  <r>
    <d v="2037-08-13T00:00:00"/>
    <x v="6"/>
    <n v="11.8"/>
    <n v="0"/>
    <n v="0"/>
  </r>
  <r>
    <d v="2037-08-14T00:00:00"/>
    <x v="13"/>
    <n v="19.5"/>
    <n v="6.4"/>
    <n v="1.2480000000000002"/>
  </r>
  <r>
    <d v="2037-08-15T00:00:00"/>
    <x v="15"/>
    <n v="12"/>
    <n v="13.3"/>
    <n v="1.5960000000000003"/>
  </r>
  <r>
    <d v="2037-08-16T00:00:00"/>
    <x v="18"/>
    <n v="16.3"/>
    <n v="7.5"/>
    <n v="1.2224999999999999"/>
  </r>
  <r>
    <d v="2037-08-17T00:00:00"/>
    <x v="13"/>
    <n v="22.8"/>
    <n v="2.7"/>
    <n v="0.61560000000000015"/>
  </r>
  <r>
    <d v="2037-08-18T00:00:00"/>
    <x v="6"/>
    <n v="16.2"/>
    <n v="43.3"/>
    <n v="7.0145999999999988"/>
  </r>
  <r>
    <d v="2037-08-19T00:00:00"/>
    <x v="20"/>
    <n v="11.5"/>
    <n v="3.1"/>
    <n v="0.35649999999999998"/>
  </r>
  <r>
    <d v="2037-08-20T00:00:00"/>
    <x v="9"/>
    <n v="13.5"/>
    <n v="0"/>
    <n v="0"/>
  </r>
  <r>
    <d v="2037-08-21T00:00:00"/>
    <x v="13"/>
    <n v="16.2"/>
    <n v="6.4"/>
    <n v="1.0368000000000002"/>
  </r>
  <r>
    <d v="2037-08-22T00:00:00"/>
    <x v="6"/>
    <n v="18.5"/>
    <n v="24.9"/>
    <n v="4.6064999999999996"/>
  </r>
  <r>
    <d v="2037-08-23T00:00:00"/>
    <x v="15"/>
    <n v="10.9"/>
    <n v="0"/>
    <n v="0"/>
  </r>
  <r>
    <d v="2037-08-24T00:00:00"/>
    <x v="13"/>
    <n v="23.9"/>
    <n v="4.5"/>
    <n v="1.0754999999999999"/>
  </r>
  <r>
    <d v="2037-08-25T00:00:00"/>
    <x v="7"/>
    <n v="20.2"/>
    <n v="0"/>
    <n v="0"/>
  </r>
  <r>
    <d v="2037-08-26T00:00:00"/>
    <x v="3"/>
    <n v="23.3"/>
    <n v="0"/>
    <n v="0"/>
  </r>
  <r>
    <d v="2037-08-27T00:00:00"/>
    <x v="9"/>
    <n v="26.3"/>
    <n v="2.2000000000000002"/>
    <n v="0.57860000000000011"/>
  </r>
  <r>
    <d v="2037-08-28T00:00:00"/>
    <x v="9"/>
    <n v="20.3"/>
    <n v="16.600000000000001"/>
    <n v="3.3698000000000001"/>
  </r>
  <r>
    <d v="2037-08-29T00:00:00"/>
    <x v="6"/>
    <n v="11.1"/>
    <n v="38"/>
    <n v="4.218"/>
  </r>
  <r>
    <d v="2037-08-30T00:00:00"/>
    <x v="1"/>
    <n v="10.7"/>
    <n v="1.2"/>
    <n v="0.12839999999999999"/>
  </r>
  <r>
    <d v="2037-08-31T00:00:00"/>
    <x v="17"/>
    <n v="21.8"/>
    <n v="0"/>
    <n v="0"/>
  </r>
  <r>
    <d v="2037-09-01T00:00:00"/>
    <x v="3"/>
    <n v="29.7"/>
    <n v="2.5"/>
    <n v="0.74250000000000005"/>
  </r>
  <r>
    <d v="2037-09-02T00:00:00"/>
    <x v="6"/>
    <n v="21.7"/>
    <n v="16.100000000000001"/>
    <n v="3.4937"/>
  </r>
  <r>
    <d v="2037-09-03T00:00:00"/>
    <x v="6"/>
    <n v="26"/>
    <n v="47.6"/>
    <n v="12.376000000000001"/>
  </r>
  <r>
    <d v="2037-09-04T00:00:00"/>
    <x v="3"/>
    <n v="18"/>
    <n v="5.3"/>
    <n v="0.95399999999999996"/>
  </r>
  <r>
    <d v="2037-09-05T00:00:00"/>
    <x v="20"/>
    <n v="15.8"/>
    <n v="3.6"/>
    <n v="0.56879999999999997"/>
  </r>
  <r>
    <d v="2037-09-06T00:00:00"/>
    <x v="22"/>
    <n v="14.1"/>
    <n v="6.8"/>
    <n v="0.95879999999999999"/>
  </r>
  <r>
    <d v="2037-09-07T00:00:00"/>
    <x v="20"/>
    <n v="22.3"/>
    <n v="1.8"/>
    <n v="0.40139999999999998"/>
  </r>
  <r>
    <d v="2037-09-08T00:00:00"/>
    <x v="15"/>
    <n v="22.2"/>
    <n v="0"/>
    <n v="0"/>
  </r>
  <r>
    <d v="2037-09-09T00:00:00"/>
    <x v="2"/>
    <n v="23.8"/>
    <n v="0"/>
    <n v="0"/>
  </r>
  <r>
    <d v="2037-09-10T00:00:00"/>
    <x v="10"/>
    <n v="10"/>
    <n v="8.1"/>
    <n v="0.81"/>
  </r>
  <r>
    <d v="2037-09-11T00:00:00"/>
    <x v="20"/>
    <n v="23.8"/>
    <n v="0"/>
    <n v="0"/>
  </r>
  <r>
    <d v="2037-09-12T00:00:00"/>
    <x v="19"/>
    <n v="13.4"/>
    <n v="2.6"/>
    <n v="0.34840000000000004"/>
  </r>
  <r>
    <d v="2037-09-13T00:00:00"/>
    <x v="20"/>
    <n v="17"/>
    <n v="1.5"/>
    <n v="0.255"/>
  </r>
  <r>
    <d v="2037-09-14T00:00:00"/>
    <x v="2"/>
    <n v="25.5"/>
    <n v="0"/>
    <n v="0"/>
  </r>
  <r>
    <d v="2037-09-15T00:00:00"/>
    <x v="10"/>
    <n v="19.7"/>
    <n v="0"/>
    <n v="0"/>
  </r>
  <r>
    <d v="2037-09-16T00:00:00"/>
    <x v="6"/>
    <n v="22.8"/>
    <n v="10.7"/>
    <n v="2.4396"/>
  </r>
  <r>
    <d v="2037-09-17T00:00:00"/>
    <x v="12"/>
    <n v="25.5"/>
    <n v="0"/>
    <n v="0"/>
  </r>
  <r>
    <d v="2037-09-18T00:00:00"/>
    <x v="6"/>
    <n v="16.8"/>
    <n v="2.2000000000000002"/>
    <n v="0.3696000000000001"/>
  </r>
  <r>
    <d v="2037-09-19T00:00:00"/>
    <x v="19"/>
    <n v="25.3"/>
    <n v="2.5"/>
    <n v="0.63249999999999995"/>
  </r>
  <r>
    <d v="2037-09-20T00:00:00"/>
    <x v="21"/>
    <n v="26.3"/>
    <n v="0.4"/>
    <n v="0.10520000000000002"/>
  </r>
  <r>
    <d v="2037-09-21T00:00:00"/>
    <x v="9"/>
    <n v="21.9"/>
    <n v="7"/>
    <n v="1.5329999999999999"/>
  </r>
  <r>
    <d v="2037-09-22T00:00:00"/>
    <x v="9"/>
    <n v="11.2"/>
    <n v="0"/>
    <n v="0"/>
  </r>
  <r>
    <d v="2037-09-23T00:00:00"/>
    <x v="11"/>
    <n v="10.6"/>
    <n v="5.2"/>
    <n v="0.55120000000000002"/>
  </r>
  <r>
    <d v="2037-09-24T00:00:00"/>
    <x v="8"/>
    <n v="17.7"/>
    <n v="1"/>
    <n v="0.17699999999999999"/>
  </r>
  <r>
    <d v="2037-09-25T00:00:00"/>
    <x v="3"/>
    <n v="19.899999999999999"/>
    <n v="0"/>
    <n v="0"/>
  </r>
  <r>
    <d v="2037-09-26T00:00:00"/>
    <x v="6"/>
    <n v="25.1"/>
    <n v="42.1"/>
    <n v="10.5671"/>
  </r>
  <r>
    <d v="2037-09-27T00:00:00"/>
    <x v="5"/>
    <n v="18.5"/>
    <n v="0.3"/>
    <n v="5.5500000000000001E-2"/>
  </r>
  <r>
    <d v="2037-09-28T00:00:00"/>
    <x v="6"/>
    <n v="25.5"/>
    <n v="25.3"/>
    <n v="6.4514999999999993"/>
  </r>
  <r>
    <d v="2037-09-29T00:00:00"/>
    <x v="6"/>
    <n v="12.8"/>
    <n v="0"/>
    <n v="0"/>
  </r>
  <r>
    <d v="2037-09-30T00:00:00"/>
    <x v="15"/>
    <n v="23.6"/>
    <n v="34.299999999999997"/>
    <n v="8.0947999999999993"/>
  </r>
  <r>
    <d v="2037-10-01T00:00:00"/>
    <x v="11"/>
    <n v="13.1"/>
    <n v="2"/>
    <n v="0.26200000000000001"/>
  </r>
  <r>
    <d v="2037-10-02T00:00:00"/>
    <x v="19"/>
    <n v="23"/>
    <n v="0"/>
    <n v="0"/>
  </r>
  <r>
    <d v="2037-10-03T00:00:00"/>
    <x v="9"/>
    <n v="13"/>
    <n v="15.8"/>
    <n v="2.0540000000000003"/>
  </r>
  <r>
    <d v="2037-10-04T00:00:00"/>
    <x v="5"/>
    <n v="19.5"/>
    <n v="8"/>
    <n v="1.56"/>
  </r>
  <r>
    <d v="2037-10-05T00:00:00"/>
    <x v="3"/>
    <n v="19.2"/>
    <n v="0"/>
    <n v="0"/>
  </r>
  <r>
    <d v="2037-10-06T00:00:00"/>
    <x v="1"/>
    <n v="28.3"/>
    <n v="1.1000000000000001"/>
    <n v="0.31130000000000002"/>
  </r>
  <r>
    <d v="2037-10-07T00:00:00"/>
    <x v="6"/>
    <n v="18.100000000000001"/>
    <n v="0"/>
    <n v="0"/>
  </r>
  <r>
    <d v="2037-10-08T00:00:00"/>
    <x v="15"/>
    <n v="17.5"/>
    <n v="13.3"/>
    <n v="2.3275000000000001"/>
  </r>
  <r>
    <d v="2037-10-09T00:00:00"/>
    <x v="2"/>
    <n v="26.7"/>
    <n v="12.9"/>
    <n v="3.4443000000000001"/>
  </r>
  <r>
    <d v="2037-10-10T00:00:00"/>
    <x v="15"/>
    <n v="26.6"/>
    <n v="0"/>
    <n v="0"/>
  </r>
  <r>
    <d v="2037-10-11T00:00:00"/>
    <x v="18"/>
    <n v="12.2"/>
    <n v="1.8"/>
    <n v="0.21960000000000002"/>
  </r>
  <r>
    <d v="2037-10-12T00:00:00"/>
    <x v="3"/>
    <n v="27.4"/>
    <n v="4.8"/>
    <n v="1.3151999999999999"/>
  </r>
  <r>
    <d v="2037-10-13T00:00:00"/>
    <x v="9"/>
    <n v="24.9"/>
    <n v="1.6"/>
    <n v="0.39840000000000003"/>
  </r>
  <r>
    <d v="2037-10-14T00:00:00"/>
    <x v="23"/>
    <n v="21.4"/>
    <n v="5.5"/>
    <n v="1.1769999999999998"/>
  </r>
  <r>
    <d v="2037-10-15T00:00:00"/>
    <x v="25"/>
    <n v="14.1"/>
    <n v="0"/>
    <n v="0"/>
  </r>
  <r>
    <d v="2037-10-16T00:00:00"/>
    <x v="21"/>
    <n v="15.4"/>
    <n v="2.1"/>
    <n v="0.32340000000000002"/>
  </r>
  <r>
    <d v="2037-10-17T00:00:00"/>
    <x v="9"/>
    <n v="27.7"/>
    <n v="0"/>
    <n v="0"/>
  </r>
  <r>
    <d v="2037-10-18T00:00:00"/>
    <x v="6"/>
    <n v="15.5"/>
    <n v="43.4"/>
    <n v="6.7269999999999994"/>
  </r>
  <r>
    <d v="2037-10-19T00:00:00"/>
    <x v="3"/>
    <n v="26.8"/>
    <n v="0"/>
    <n v="0"/>
  </r>
  <r>
    <d v="2037-10-20T00:00:00"/>
    <x v="9"/>
    <n v="23.1"/>
    <n v="9.1"/>
    <n v="2.1021000000000001"/>
  </r>
  <r>
    <d v="2037-10-21T00:00:00"/>
    <x v="2"/>
    <n v="22.8"/>
    <n v="12.9"/>
    <n v="2.9412000000000003"/>
  </r>
  <r>
    <d v="2037-10-22T00:00:00"/>
    <x v="6"/>
    <n v="17.2"/>
    <n v="0"/>
    <n v="0"/>
  </r>
  <r>
    <d v="2037-10-23T00:00:00"/>
    <x v="6"/>
    <n v="29.3"/>
    <n v="6.1"/>
    <n v="1.7872999999999999"/>
  </r>
  <r>
    <d v="2037-10-24T00:00:00"/>
    <x v="9"/>
    <n v="19.5"/>
    <n v="14.2"/>
    <n v="2.7689999999999997"/>
  </r>
  <r>
    <d v="2037-10-25T00:00:00"/>
    <x v="15"/>
    <n v="28.1"/>
    <n v="9.4"/>
    <n v="2.6414000000000004"/>
  </r>
  <r>
    <d v="2037-10-26T00:00:00"/>
    <x v="7"/>
    <n v="21.1"/>
    <n v="12"/>
    <n v="2.532"/>
  </r>
  <r>
    <d v="2037-10-27T00:00:00"/>
    <x v="3"/>
    <n v="23.8"/>
    <n v="13.3"/>
    <n v="3.1654"/>
  </r>
  <r>
    <d v="2037-10-28T00:00:00"/>
    <x v="20"/>
    <n v="19.399999999999999"/>
    <n v="2.2000000000000002"/>
    <n v="0.42680000000000001"/>
  </r>
  <r>
    <d v="2037-10-29T00:00:00"/>
    <x v="3"/>
    <n v="25.8"/>
    <n v="17.100000000000001"/>
    <n v="4.4118000000000004"/>
  </r>
  <r>
    <d v="2037-10-30T00:00:00"/>
    <x v="3"/>
    <n v="30"/>
    <n v="6.3"/>
    <n v="1.89"/>
  </r>
  <r>
    <d v="2037-10-31T00:00:00"/>
    <x v="6"/>
    <n v="11"/>
    <n v="0"/>
    <n v="0"/>
  </r>
  <r>
    <d v="2037-11-01T00:00:00"/>
    <x v="15"/>
    <n v="27.2"/>
    <n v="0"/>
    <n v="0"/>
  </r>
  <r>
    <d v="2037-11-02T00:00:00"/>
    <x v="3"/>
    <n v="18.3"/>
    <n v="8.4"/>
    <n v="1.5371999999999999"/>
  </r>
  <r>
    <d v="2037-11-03T00:00:00"/>
    <x v="21"/>
    <n v="14"/>
    <n v="2.5"/>
    <n v="0.35"/>
  </r>
  <r>
    <d v="2037-11-04T00:00:00"/>
    <x v="3"/>
    <n v="26.2"/>
    <n v="6.9"/>
    <n v="1.8078000000000001"/>
  </r>
  <r>
    <d v="2037-11-05T00:00:00"/>
    <x v="11"/>
    <n v="25.5"/>
    <n v="8.4"/>
    <n v="2.1420000000000003"/>
  </r>
  <r>
    <d v="2037-11-06T00:00:00"/>
    <x v="14"/>
    <n v="23.1"/>
    <n v="11.4"/>
    <n v="2.6334000000000004"/>
  </r>
  <r>
    <d v="2037-11-07T00:00:00"/>
    <x v="8"/>
    <n v="21.3"/>
    <n v="2.8"/>
    <n v="0.59640000000000004"/>
  </r>
  <r>
    <d v="2037-11-08T00:00:00"/>
    <x v="8"/>
    <n v="16.3"/>
    <n v="7.6"/>
    <n v="1.2387999999999999"/>
  </r>
  <r>
    <d v="2037-11-09T00:00:00"/>
    <x v="10"/>
    <n v="23.7"/>
    <n v="7.6"/>
    <n v="1.8011999999999997"/>
  </r>
  <r>
    <d v="2037-11-10T00:00:00"/>
    <x v="14"/>
    <n v="24.8"/>
    <n v="0"/>
    <n v="0"/>
  </r>
  <r>
    <d v="2037-11-11T00:00:00"/>
    <x v="29"/>
    <n v="21.7"/>
    <n v="1"/>
    <n v="0.217"/>
  </r>
  <r>
    <d v="2037-11-12T00:00:00"/>
    <x v="6"/>
    <n v="16.7"/>
    <n v="21"/>
    <n v="3.5069999999999997"/>
  </r>
  <r>
    <d v="2037-11-13T00:00:00"/>
    <x v="19"/>
    <n v="22.3"/>
    <n v="0.1"/>
    <n v="2.23E-2"/>
  </r>
  <r>
    <d v="2037-11-14T00:00:00"/>
    <x v="22"/>
    <n v="13.6"/>
    <n v="0"/>
    <n v="0"/>
  </r>
  <r>
    <d v="2037-11-15T00:00:00"/>
    <x v="21"/>
    <n v="11.8"/>
    <n v="2.1"/>
    <n v="0.24780000000000002"/>
  </r>
  <r>
    <d v="2037-11-16T00:00:00"/>
    <x v="7"/>
    <n v="11.1"/>
    <n v="0"/>
    <n v="0"/>
  </r>
  <r>
    <d v="2037-11-17T00:00:00"/>
    <x v="9"/>
    <n v="11.2"/>
    <n v="15"/>
    <n v="1.68"/>
  </r>
  <r>
    <d v="2037-11-18T00:00:00"/>
    <x v="19"/>
    <n v="19.100000000000001"/>
    <n v="0"/>
    <n v="0"/>
  </r>
  <r>
    <d v="2037-11-19T00:00:00"/>
    <x v="6"/>
    <n v="11.1"/>
    <n v="46.3"/>
    <n v="5.1392999999999995"/>
  </r>
  <r>
    <d v="2037-11-20T00:00:00"/>
    <x v="14"/>
    <n v="15.1"/>
    <n v="6.2"/>
    <n v="0.93620000000000003"/>
  </r>
  <r>
    <d v="2037-11-21T00:00:00"/>
    <x v="11"/>
    <n v="21.7"/>
    <n v="0"/>
    <n v="0"/>
  </r>
  <r>
    <d v="2037-11-22T00:00:00"/>
    <x v="19"/>
    <n v="19.7"/>
    <n v="0.2"/>
    <n v="3.9399999999999998E-2"/>
  </r>
  <r>
    <d v="2037-11-23T00:00:00"/>
    <x v="3"/>
    <n v="17.5"/>
    <n v="2.2000000000000002"/>
    <n v="0.38500000000000001"/>
  </r>
  <r>
    <d v="2037-11-24T00:00:00"/>
    <x v="2"/>
    <n v="18.8"/>
    <n v="11.3"/>
    <n v="2.1244000000000001"/>
  </r>
  <r>
    <d v="2037-11-25T00:00:00"/>
    <x v="26"/>
    <n v="19.600000000000001"/>
    <n v="0.3"/>
    <n v="5.8799999999999998E-2"/>
  </r>
  <r>
    <d v="2037-11-26T00:00:00"/>
    <x v="7"/>
    <n v="24.4"/>
    <n v="22"/>
    <n v="5.3679999999999994"/>
  </r>
  <r>
    <d v="2037-11-27T00:00:00"/>
    <x v="19"/>
    <n v="10.5"/>
    <n v="0.1"/>
    <n v="1.0500000000000001E-2"/>
  </r>
  <r>
    <d v="2037-11-28T00:00:00"/>
    <x v="5"/>
    <n v="23.5"/>
    <n v="0"/>
    <n v="0"/>
  </r>
  <r>
    <d v="2037-11-29T00:00:00"/>
    <x v="23"/>
    <n v="19.2"/>
    <n v="0"/>
    <n v="0"/>
  </r>
  <r>
    <d v="2037-11-30T00:00:00"/>
    <x v="2"/>
    <n v="11"/>
    <n v="0"/>
    <n v="0"/>
  </r>
  <r>
    <d v="2037-12-01T00:00:00"/>
    <x v="7"/>
    <n v="10.4"/>
    <n v="0"/>
    <n v="0"/>
  </r>
  <r>
    <d v="2037-12-02T00:00:00"/>
    <x v="3"/>
    <n v="11.9"/>
    <n v="9"/>
    <n v="1.0710000000000002"/>
  </r>
  <r>
    <d v="2037-12-03T00:00:00"/>
    <x v="10"/>
    <n v="23.1"/>
    <n v="2"/>
    <n v="0.46200000000000002"/>
  </r>
  <r>
    <d v="2037-12-04T00:00:00"/>
    <x v="15"/>
    <n v="18.600000000000001"/>
    <n v="17.2"/>
    <n v="3.1992000000000003"/>
  </r>
  <r>
    <d v="2037-12-05T00:00:00"/>
    <x v="2"/>
    <n v="21.8"/>
    <n v="12.3"/>
    <n v="2.6814000000000004"/>
  </r>
  <r>
    <d v="2037-12-06T00:00:00"/>
    <x v="10"/>
    <n v="27.7"/>
    <n v="7.4"/>
    <n v="2.0498000000000003"/>
  </r>
  <r>
    <d v="2037-12-07T00:00:00"/>
    <x v="15"/>
    <n v="23.2"/>
    <n v="24"/>
    <n v="5.5679999999999996"/>
  </r>
  <r>
    <d v="2037-12-08T00:00:00"/>
    <x v="15"/>
    <n v="25.8"/>
    <n v="16.100000000000001"/>
    <n v="4.1538000000000004"/>
  </r>
  <r>
    <d v="2037-12-09T00:00:00"/>
    <x v="1"/>
    <n v="19.8"/>
    <n v="6.6"/>
    <n v="1.3068"/>
  </r>
  <r>
    <d v="2037-12-10T00:00:00"/>
    <x v="14"/>
    <n v="11.2"/>
    <n v="7.5"/>
    <n v="0.84"/>
  </r>
  <r>
    <d v="2037-12-11T00:00:00"/>
    <x v="6"/>
    <n v="15.7"/>
    <n v="0"/>
    <n v="0"/>
  </r>
  <r>
    <d v="2037-12-12T00:00:00"/>
    <x v="26"/>
    <n v="23.6"/>
    <n v="0.6"/>
    <n v="0.1416"/>
  </r>
  <r>
    <d v="2037-12-13T00:00:00"/>
    <x v="4"/>
    <n v="27.5"/>
    <n v="5.3"/>
    <n v="1.4575"/>
  </r>
  <r>
    <d v="2037-12-14T00:00:00"/>
    <x v="1"/>
    <n v="17.3"/>
    <n v="0"/>
    <n v="0"/>
  </r>
  <r>
    <d v="2037-12-15T00:00:00"/>
    <x v="15"/>
    <n v="11.2"/>
    <n v="32.700000000000003"/>
    <n v="3.6623999999999999"/>
  </r>
  <r>
    <d v="2037-12-16T00:00:00"/>
    <x v="7"/>
    <n v="17.8"/>
    <n v="0"/>
    <n v="0"/>
  </r>
  <r>
    <d v="2037-12-17T00:00:00"/>
    <x v="6"/>
    <n v="16.899999999999999"/>
    <n v="41.8"/>
    <n v="7.0641999999999987"/>
  </r>
  <r>
    <d v="2037-12-18T00:00:00"/>
    <x v="7"/>
    <n v="18.3"/>
    <n v="0"/>
    <n v="0"/>
  </r>
  <r>
    <d v="2037-12-19T00:00:00"/>
    <x v="13"/>
    <n v="12.2"/>
    <n v="0"/>
    <n v="0"/>
  </r>
  <r>
    <d v="2037-12-20T00:00:00"/>
    <x v="9"/>
    <n v="21.2"/>
    <n v="0"/>
    <n v="0"/>
  </r>
  <r>
    <d v="2037-12-21T00:00:00"/>
    <x v="6"/>
    <n v="19.600000000000001"/>
    <n v="48.2"/>
    <n v="9.4472000000000023"/>
  </r>
  <r>
    <d v="2037-12-22T00:00:00"/>
    <x v="5"/>
    <n v="15.6"/>
    <n v="0.6"/>
    <n v="9.3599999999999989E-2"/>
  </r>
  <r>
    <d v="2037-12-23T00:00:00"/>
    <x v="22"/>
    <n v="12.5"/>
    <n v="5.9"/>
    <n v="0.73750000000000004"/>
  </r>
  <r>
    <d v="2037-12-24T00:00:00"/>
    <x v="8"/>
    <n v="29.3"/>
    <n v="0"/>
    <n v="0"/>
  </r>
  <r>
    <d v="2037-12-25T00:00:00"/>
    <x v="14"/>
    <n v="24.6"/>
    <n v="0"/>
    <n v="0"/>
  </r>
  <r>
    <d v="2037-12-26T00:00:00"/>
    <x v="5"/>
    <n v="21.2"/>
    <n v="3.1"/>
    <n v="0.65720000000000001"/>
  </r>
  <r>
    <d v="2037-12-27T00:00:00"/>
    <x v="6"/>
    <n v="12.7"/>
    <n v="38.1"/>
    <n v="4.8387000000000002"/>
  </r>
  <r>
    <d v="2037-12-28T00:00:00"/>
    <x v="19"/>
    <n v="20.6"/>
    <n v="5.2"/>
    <n v="1.0712000000000002"/>
  </r>
  <r>
    <d v="2037-12-29T00:00:00"/>
    <x v="8"/>
    <n v="28.3"/>
    <n v="0"/>
    <n v="0"/>
  </r>
  <r>
    <d v="2037-12-30T00:00:00"/>
    <x v="15"/>
    <n v="15.1"/>
    <n v="22.6"/>
    <n v="3.4125999999999999"/>
  </r>
  <r>
    <d v="2037-12-31T00:00:00"/>
    <x v="11"/>
    <n v="24.8"/>
    <n v="10.5"/>
    <n v="2.6040000000000005"/>
  </r>
  <r>
    <d v="2038-01-01T00:00:00"/>
    <x v="17"/>
    <n v="16.899999999999999"/>
    <n v="1.2"/>
    <n v="0.20279999999999998"/>
  </r>
  <r>
    <d v="2038-01-02T00:00:00"/>
    <x v="17"/>
    <n v="23.4"/>
    <n v="0"/>
    <n v="0"/>
  </r>
  <r>
    <d v="2038-01-03T00:00:00"/>
    <x v="3"/>
    <n v="10.5"/>
    <n v="22.2"/>
    <n v="2.331"/>
  </r>
  <r>
    <d v="2038-01-04T00:00:00"/>
    <x v="6"/>
    <n v="16.2"/>
    <n v="0"/>
    <n v="0"/>
  </r>
  <r>
    <d v="2038-01-05T00:00:00"/>
    <x v="12"/>
    <n v="29.7"/>
    <n v="0.3"/>
    <n v="8.9099999999999999E-2"/>
  </r>
  <r>
    <d v="2038-01-06T00:00:00"/>
    <x v="6"/>
    <n v="12.8"/>
    <n v="0"/>
    <n v="0"/>
  </r>
  <r>
    <d v="2038-01-07T00:00:00"/>
    <x v="4"/>
    <n v="19.100000000000001"/>
    <n v="1.7"/>
    <n v="0.32469999999999999"/>
  </r>
  <r>
    <d v="2038-01-08T00:00:00"/>
    <x v="7"/>
    <n v="27.7"/>
    <n v="0"/>
    <n v="0"/>
  </r>
  <r>
    <d v="2038-01-09T00:00:00"/>
    <x v="10"/>
    <n v="22"/>
    <n v="5.9"/>
    <n v="1.298"/>
  </r>
  <r>
    <d v="2038-01-10T00:00:00"/>
    <x v="2"/>
    <n v="19.600000000000001"/>
    <n v="2.7"/>
    <n v="0.52920000000000011"/>
  </r>
  <r>
    <d v="2038-01-11T00:00:00"/>
    <x v="4"/>
    <n v="16"/>
    <n v="0.3"/>
    <n v="4.8000000000000001E-2"/>
  </r>
  <r>
    <d v="2038-01-12T00:00:00"/>
    <x v="1"/>
    <n v="14"/>
    <n v="1.3"/>
    <n v="0.182"/>
  </r>
  <r>
    <d v="2038-01-13T00:00:00"/>
    <x v="11"/>
    <n v="29.5"/>
    <n v="3.3"/>
    <n v="0.97349999999999992"/>
  </r>
  <r>
    <d v="2038-01-14T00:00:00"/>
    <x v="3"/>
    <n v="12.2"/>
    <n v="0"/>
    <n v="0"/>
  </r>
  <r>
    <d v="2038-01-15T00:00:00"/>
    <x v="7"/>
    <n v="15"/>
    <n v="7.4"/>
    <n v="1.1100000000000001"/>
  </r>
  <r>
    <d v="2038-01-16T00:00:00"/>
    <x v="16"/>
    <n v="10.4"/>
    <n v="2"/>
    <n v="0.20800000000000002"/>
  </r>
  <r>
    <d v="2038-01-17T00:00:00"/>
    <x v="15"/>
    <n v="18.600000000000001"/>
    <n v="4.5999999999999996"/>
    <n v="0.85560000000000003"/>
  </r>
  <r>
    <d v="2038-01-18T00:00:00"/>
    <x v="14"/>
    <n v="23.7"/>
    <n v="7.2"/>
    <n v="1.7063999999999999"/>
  </r>
  <r>
    <d v="2038-01-19T00:00:00"/>
    <x v="1"/>
    <n v="27.2"/>
    <n v="0"/>
    <n v="0"/>
  </r>
  <r>
    <d v="2038-01-20T00:00:00"/>
    <x v="11"/>
    <n v="11.3"/>
    <n v="18.8"/>
    <n v="2.1244000000000001"/>
  </r>
  <r>
    <d v="2038-01-21T00:00:00"/>
    <x v="3"/>
    <n v="22.1"/>
    <n v="0"/>
    <n v="0"/>
  </r>
  <r>
    <d v="2038-01-22T00:00:00"/>
    <x v="8"/>
    <n v="11"/>
    <n v="0"/>
    <n v="0"/>
  </r>
  <r>
    <d v="2038-01-23T00:00:00"/>
    <x v="15"/>
    <n v="14.7"/>
    <n v="0"/>
    <n v="0"/>
  </r>
  <r>
    <d v="2038-01-24T00:00:00"/>
    <x v="15"/>
    <n v="10.4"/>
    <n v="14.4"/>
    <n v="1.4976000000000003"/>
  </r>
  <r>
    <d v="2038-01-25T00:00:00"/>
    <x v="20"/>
    <n v="29.6"/>
    <n v="2.8"/>
    <n v="0.82879999999999998"/>
  </r>
  <r>
    <d v="2038-01-26T00:00:00"/>
    <x v="14"/>
    <n v="11.3"/>
    <n v="7.2"/>
    <n v="0.8136000000000001"/>
  </r>
  <r>
    <d v="2038-01-27T00:00:00"/>
    <x v="16"/>
    <n v="22.4"/>
    <n v="0"/>
    <n v="0"/>
  </r>
  <r>
    <d v="2038-01-28T00:00:00"/>
    <x v="15"/>
    <n v="19.600000000000001"/>
    <n v="28.7"/>
    <n v="5.6251999999999995"/>
  </r>
  <r>
    <d v="2038-01-29T00:00:00"/>
    <x v="2"/>
    <n v="28.5"/>
    <n v="12.9"/>
    <n v="3.6765000000000003"/>
  </r>
  <r>
    <d v="2038-01-30T00:00:00"/>
    <x v="20"/>
    <n v="10.9"/>
    <n v="0"/>
    <n v="0"/>
  </r>
  <r>
    <d v="2038-01-31T00:00:00"/>
    <x v="9"/>
    <n v="13.4"/>
    <n v="15.7"/>
    <n v="2.1038000000000001"/>
  </r>
  <r>
    <d v="2038-02-01T00:00:00"/>
    <x v="15"/>
    <n v="27.3"/>
    <n v="0"/>
    <n v="0"/>
  </r>
  <r>
    <d v="2038-02-02T00:00:00"/>
    <x v="5"/>
    <n v="23.6"/>
    <n v="0"/>
    <n v="0"/>
  </r>
  <r>
    <d v="2038-02-03T00:00:00"/>
    <x v="3"/>
    <n v="26.5"/>
    <n v="20.3"/>
    <n v="5.3795000000000002"/>
  </r>
  <r>
    <d v="2038-02-04T00:00:00"/>
    <x v="5"/>
    <n v="23.6"/>
    <n v="6.5"/>
    <n v="1.534"/>
  </r>
  <r>
    <d v="2038-02-05T00:00:00"/>
    <x v="7"/>
    <n v="22.4"/>
    <n v="13.3"/>
    <n v="2.9792000000000001"/>
  </r>
  <r>
    <d v="2038-02-06T00:00:00"/>
    <x v="14"/>
    <n v="22"/>
    <n v="15.5"/>
    <n v="3.41"/>
  </r>
  <r>
    <d v="2038-02-07T00:00:00"/>
    <x v="23"/>
    <n v="10.8"/>
    <n v="0.4"/>
    <n v="4.3200000000000002E-2"/>
  </r>
  <r>
    <d v="2038-02-08T00:00:00"/>
    <x v="11"/>
    <n v="21.6"/>
    <n v="0"/>
    <n v="0"/>
  </r>
  <r>
    <d v="2038-02-09T00:00:00"/>
    <x v="4"/>
    <n v="10.1"/>
    <n v="0"/>
    <n v="0"/>
  </r>
  <r>
    <d v="2038-02-10T00:00:00"/>
    <x v="7"/>
    <n v="29"/>
    <n v="12.6"/>
    <n v="3.6539999999999999"/>
  </r>
  <r>
    <d v="2038-02-11T00:00:00"/>
    <x v="4"/>
    <n v="16.399999999999999"/>
    <n v="3.7"/>
    <n v="0.60680000000000001"/>
  </r>
  <r>
    <d v="2038-02-12T00:00:00"/>
    <x v="15"/>
    <n v="13.5"/>
    <n v="38.5"/>
    <n v="5.1974999999999998"/>
  </r>
  <r>
    <d v="2038-02-13T00:00:00"/>
    <x v="10"/>
    <n v="18.100000000000001"/>
    <n v="3"/>
    <n v="0.54300000000000004"/>
  </r>
  <r>
    <d v="2038-02-14T00:00:00"/>
    <x v="3"/>
    <n v="20.399999999999999"/>
    <n v="11.7"/>
    <n v="2.3867999999999996"/>
  </r>
  <r>
    <d v="2038-02-15T00:00:00"/>
    <x v="11"/>
    <n v="29.6"/>
    <n v="0.9"/>
    <n v="0.26640000000000003"/>
  </r>
  <r>
    <d v="2038-02-16T00:00:00"/>
    <x v="28"/>
    <n v="11.4"/>
    <n v="0.6"/>
    <n v="6.8400000000000002E-2"/>
  </r>
  <r>
    <d v="2038-02-17T00:00:00"/>
    <x v="7"/>
    <n v="28.8"/>
    <n v="14.1"/>
    <n v="4.0607999999999995"/>
  </r>
  <r>
    <d v="2038-02-18T00:00:00"/>
    <x v="6"/>
    <n v="11.8"/>
    <n v="42.4"/>
    <n v="5.0031999999999996"/>
  </r>
  <r>
    <d v="2038-02-19T00:00:00"/>
    <x v="3"/>
    <n v="11.5"/>
    <n v="10.1"/>
    <n v="1.1615"/>
  </r>
  <r>
    <d v="2038-02-20T00:00:00"/>
    <x v="9"/>
    <n v="13.6"/>
    <n v="8.4"/>
    <n v="1.1423999999999999"/>
  </r>
  <r>
    <d v="2038-02-21T00:00:00"/>
    <x v="27"/>
    <n v="14.1"/>
    <n v="0.7"/>
    <n v="9.8699999999999996E-2"/>
  </r>
  <r>
    <d v="2038-02-22T00:00:00"/>
    <x v="15"/>
    <n v="19.399999999999999"/>
    <n v="32.700000000000003"/>
    <n v="6.3437999999999999"/>
  </r>
  <r>
    <d v="2038-02-23T00:00:00"/>
    <x v="29"/>
    <n v="28.5"/>
    <n v="0"/>
    <n v="0"/>
  </r>
  <r>
    <d v="2038-02-24T00:00:00"/>
    <x v="15"/>
    <n v="23.7"/>
    <n v="12.2"/>
    <n v="2.8914"/>
  </r>
  <r>
    <d v="2038-02-25T00:00:00"/>
    <x v="16"/>
    <n v="21.7"/>
    <n v="0"/>
    <n v="0"/>
  </r>
  <r>
    <d v="2038-02-26T00:00:00"/>
    <x v="2"/>
    <n v="13.3"/>
    <n v="0"/>
    <n v="0"/>
  </r>
  <r>
    <d v="2038-02-27T00:00:00"/>
    <x v="5"/>
    <n v="14.4"/>
    <n v="0"/>
    <n v="0"/>
  </r>
  <r>
    <d v="2038-02-28T00:00:00"/>
    <x v="7"/>
    <n v="28.5"/>
    <n v="21.5"/>
    <n v="6.1275000000000004"/>
  </r>
  <r>
    <d v="2038-03-01T00:00:00"/>
    <x v="15"/>
    <n v="20.5"/>
    <n v="0"/>
    <n v="0"/>
  </r>
  <r>
    <d v="2038-03-02T00:00:00"/>
    <x v="6"/>
    <n v="11.4"/>
    <n v="39"/>
    <n v="4.4460000000000006"/>
  </r>
  <r>
    <d v="2038-03-03T00:00:00"/>
    <x v="5"/>
    <n v="12.5"/>
    <n v="0"/>
    <n v="0"/>
  </r>
  <r>
    <d v="2038-03-04T00:00:00"/>
    <x v="11"/>
    <n v="16.600000000000001"/>
    <n v="4.5999999999999996"/>
    <n v="0.76359999999999995"/>
  </r>
  <r>
    <d v="2038-03-05T00:00:00"/>
    <x v="11"/>
    <n v="10.6"/>
    <n v="11.3"/>
    <n v="1.1978"/>
  </r>
  <r>
    <d v="2038-03-06T00:00:00"/>
    <x v="3"/>
    <n v="27.9"/>
    <n v="16.100000000000001"/>
    <n v="4.4919000000000002"/>
  </r>
  <r>
    <d v="2038-03-07T00:00:00"/>
    <x v="6"/>
    <n v="11.1"/>
    <n v="28.2"/>
    <n v="3.1301999999999999"/>
  </r>
  <r>
    <d v="2038-03-08T00:00:00"/>
    <x v="3"/>
    <n v="21.5"/>
    <n v="12.8"/>
    <n v="2.7519999999999998"/>
  </r>
  <r>
    <d v="2038-03-09T00:00:00"/>
    <x v="2"/>
    <n v="28.4"/>
    <n v="4.5999999999999996"/>
    <n v="1.3063999999999998"/>
  </r>
  <r>
    <d v="2038-03-10T00:00:00"/>
    <x v="18"/>
    <n v="18.100000000000001"/>
    <n v="5.9"/>
    <n v="1.0679000000000003"/>
  </r>
  <r>
    <d v="2038-03-11T00:00:00"/>
    <x v="16"/>
    <n v="25.3"/>
    <n v="0"/>
    <n v="0"/>
  </r>
  <r>
    <d v="2038-03-12T00:00:00"/>
    <x v="5"/>
    <n v="15.6"/>
    <n v="10.6"/>
    <n v="1.6536"/>
  </r>
  <r>
    <d v="2038-03-13T00:00:00"/>
    <x v="15"/>
    <n v="19.899999999999999"/>
    <n v="0"/>
    <n v="0"/>
  </r>
  <r>
    <d v="2038-03-14T00:00:00"/>
    <x v="3"/>
    <n v="24.7"/>
    <n v="14.7"/>
    <n v="3.6308999999999996"/>
  </r>
  <r>
    <d v="2038-03-15T00:00:00"/>
    <x v="19"/>
    <n v="21.9"/>
    <n v="5.6"/>
    <n v="1.2263999999999999"/>
  </r>
  <r>
    <d v="2038-03-16T00:00:00"/>
    <x v="10"/>
    <n v="18"/>
    <n v="6.2"/>
    <n v="1.1160000000000001"/>
  </r>
  <r>
    <d v="2038-03-17T00:00:00"/>
    <x v="25"/>
    <n v="24.5"/>
    <n v="0.6"/>
    <n v="0.14699999999999999"/>
  </r>
  <r>
    <d v="2038-03-18T00:00:00"/>
    <x v="4"/>
    <n v="10.9"/>
    <n v="0"/>
    <n v="0"/>
  </r>
  <r>
    <d v="2038-03-19T00:00:00"/>
    <x v="22"/>
    <n v="11.3"/>
    <n v="2.7"/>
    <n v="0.30510000000000004"/>
  </r>
  <r>
    <d v="2038-03-20T00:00:00"/>
    <x v="6"/>
    <n v="13.2"/>
    <n v="30"/>
    <n v="3.96"/>
  </r>
  <r>
    <d v="2038-03-21T00:00:00"/>
    <x v="4"/>
    <n v="18.7"/>
    <n v="4.7"/>
    <n v="0.87890000000000001"/>
  </r>
  <r>
    <d v="2038-03-22T00:00:00"/>
    <x v="4"/>
    <n v="12.1"/>
    <n v="1.5"/>
    <n v="0.18149999999999999"/>
  </r>
  <r>
    <d v="2038-03-23T00:00:00"/>
    <x v="11"/>
    <n v="11.9"/>
    <n v="1.3"/>
    <n v="0.1547"/>
  </r>
  <r>
    <d v="2038-03-24T00:00:00"/>
    <x v="22"/>
    <n v="17.7"/>
    <n v="2.6"/>
    <n v="0.46020000000000005"/>
  </r>
  <r>
    <d v="2038-03-25T00:00:00"/>
    <x v="17"/>
    <n v="25.9"/>
    <n v="0.8"/>
    <n v="0.2072"/>
  </r>
  <r>
    <d v="2038-03-26T00:00:00"/>
    <x v="2"/>
    <n v="27.7"/>
    <n v="0"/>
    <n v="0"/>
  </r>
  <r>
    <d v="2038-03-27T00:00:00"/>
    <x v="9"/>
    <n v="13.3"/>
    <n v="13.3"/>
    <n v="1.7689000000000001"/>
  </r>
  <r>
    <d v="2038-03-28T00:00:00"/>
    <x v="15"/>
    <n v="11.7"/>
    <n v="4.9000000000000004"/>
    <n v="0.57330000000000003"/>
  </r>
  <r>
    <d v="2038-03-29T00:00:00"/>
    <x v="22"/>
    <n v="26.5"/>
    <n v="4.5"/>
    <n v="1.1924999999999999"/>
  </r>
  <r>
    <d v="2038-03-30T00:00:00"/>
    <x v="23"/>
    <n v="18.7"/>
    <n v="2.2999999999999998"/>
    <n v="0.43009999999999998"/>
  </r>
  <r>
    <d v="2038-03-31T00:00:00"/>
    <x v="18"/>
    <n v="11.7"/>
    <n v="6"/>
    <n v="0.70199999999999985"/>
  </r>
  <r>
    <d v="2038-04-01T00:00:00"/>
    <x v="15"/>
    <n v="27.5"/>
    <n v="22.6"/>
    <n v="6.2149999999999999"/>
  </r>
  <r>
    <d v="2038-04-02T00:00:00"/>
    <x v="23"/>
    <n v="27.4"/>
    <n v="0"/>
    <n v="0"/>
  </r>
  <r>
    <d v="2038-04-03T00:00:00"/>
    <x v="7"/>
    <n v="14.8"/>
    <n v="0"/>
    <n v="0"/>
  </r>
  <r>
    <d v="2038-04-04T00:00:00"/>
    <x v="13"/>
    <n v="26.2"/>
    <n v="0"/>
    <n v="0"/>
  </r>
  <r>
    <d v="2038-04-05T00:00:00"/>
    <x v="11"/>
    <n v="12.9"/>
    <n v="17.899999999999999"/>
    <n v="2.3090999999999999"/>
  </r>
  <r>
    <d v="2038-04-06T00:00:00"/>
    <x v="21"/>
    <n v="12.5"/>
    <n v="0"/>
    <n v="0"/>
  </r>
  <r>
    <d v="2038-04-07T00:00:00"/>
    <x v="20"/>
    <n v="12.3"/>
    <n v="0"/>
    <n v="0"/>
  </r>
  <r>
    <d v="2038-04-08T00:00:00"/>
    <x v="1"/>
    <n v="19.399999999999999"/>
    <n v="0"/>
    <n v="0"/>
  </r>
  <r>
    <d v="2038-04-09T00:00:00"/>
    <x v="11"/>
    <n v="20.9"/>
    <n v="0"/>
    <n v="0"/>
  </r>
  <r>
    <d v="2038-04-10T00:00:00"/>
    <x v="5"/>
    <n v="10.4"/>
    <n v="0"/>
    <n v="0"/>
  </r>
  <r>
    <d v="2038-04-11T00:00:00"/>
    <x v="7"/>
    <n v="22.2"/>
    <n v="2.5"/>
    <n v="0.55500000000000005"/>
  </r>
  <r>
    <d v="2038-04-12T00:00:00"/>
    <x v="6"/>
    <n v="16.8"/>
    <n v="0"/>
    <n v="0"/>
  </r>
  <r>
    <d v="2038-04-13T00:00:00"/>
    <x v="15"/>
    <n v="21.7"/>
    <n v="33.299999999999997"/>
    <n v="7.2260999999999989"/>
  </r>
  <r>
    <d v="2038-04-14T00:00:00"/>
    <x v="7"/>
    <n v="10.199999999999999"/>
    <n v="16.600000000000001"/>
    <n v="1.6932"/>
  </r>
  <r>
    <d v="2038-04-15T00:00:00"/>
    <x v="6"/>
    <n v="16.5"/>
    <n v="0"/>
    <n v="0"/>
  </r>
  <r>
    <d v="2038-04-16T00:00:00"/>
    <x v="12"/>
    <n v="29.1"/>
    <n v="0.5"/>
    <n v="0.14550000000000002"/>
  </r>
  <r>
    <d v="2038-04-17T00:00:00"/>
    <x v="7"/>
    <n v="17.8"/>
    <n v="0"/>
    <n v="0"/>
  </r>
  <r>
    <d v="2038-04-18T00:00:00"/>
    <x v="6"/>
    <n v="10"/>
    <n v="0"/>
    <n v="0"/>
  </r>
  <r>
    <d v="2038-04-19T00:00:00"/>
    <x v="5"/>
    <n v="15.5"/>
    <n v="8.6"/>
    <n v="1.3329999999999997"/>
  </r>
  <r>
    <d v="2038-04-20T00:00:00"/>
    <x v="6"/>
    <n v="15.3"/>
    <n v="21.4"/>
    <n v="3.2742"/>
  </r>
  <r>
    <d v="2038-04-21T00:00:00"/>
    <x v="8"/>
    <n v="23.7"/>
    <n v="0"/>
    <n v="0"/>
  </r>
  <r>
    <d v="2038-04-22T00:00:00"/>
    <x v="7"/>
    <n v="26.1"/>
    <n v="12.5"/>
    <n v="3.2625000000000002"/>
  </r>
  <r>
    <d v="2038-04-23T00:00:00"/>
    <x v="7"/>
    <n v="13.4"/>
    <n v="0"/>
    <n v="0"/>
  </r>
  <r>
    <d v="2038-04-24T00:00:00"/>
    <x v="1"/>
    <n v="17.8"/>
    <n v="3.7"/>
    <n v="0.65859999999999996"/>
  </r>
  <r>
    <d v="2038-04-25T00:00:00"/>
    <x v="20"/>
    <n v="13"/>
    <n v="2.7"/>
    <n v="0.35100000000000003"/>
  </r>
  <r>
    <d v="2038-04-26T00:00:00"/>
    <x v="3"/>
    <n v="28.2"/>
    <n v="0"/>
    <n v="0"/>
  </r>
  <r>
    <d v="2038-04-27T00:00:00"/>
    <x v="6"/>
    <n v="23"/>
    <n v="0"/>
    <n v="0"/>
  </r>
  <r>
    <d v="2038-04-28T00:00:00"/>
    <x v="3"/>
    <n v="21.5"/>
    <n v="0"/>
    <n v="0"/>
  </r>
  <r>
    <d v="2038-04-29T00:00:00"/>
    <x v="14"/>
    <n v="22.3"/>
    <n v="0"/>
    <n v="0"/>
  </r>
  <r>
    <d v="2038-04-30T00:00:00"/>
    <x v="6"/>
    <n v="28.2"/>
    <n v="0"/>
    <n v="0"/>
  </r>
  <r>
    <d v="2038-05-01T00:00:00"/>
    <x v="20"/>
    <n v="11.9"/>
    <n v="3.4"/>
    <n v="0.40460000000000002"/>
  </r>
  <r>
    <d v="2038-05-02T00:00:00"/>
    <x v="14"/>
    <n v="20.9"/>
    <n v="7.5"/>
    <n v="1.5674999999999999"/>
  </r>
  <r>
    <d v="2038-05-03T00:00:00"/>
    <x v="28"/>
    <n v="18.399999999999999"/>
    <n v="0.2"/>
    <n v="3.6799999999999999E-2"/>
  </r>
  <r>
    <d v="2038-05-04T00:00:00"/>
    <x v="6"/>
    <n v="27.8"/>
    <n v="35.9"/>
    <n v="9.9802"/>
  </r>
  <r>
    <d v="2038-05-05T00:00:00"/>
    <x v="15"/>
    <n v="20.7"/>
    <n v="14.7"/>
    <n v="3.0428999999999995"/>
  </r>
  <r>
    <d v="2038-05-06T00:00:00"/>
    <x v="1"/>
    <n v="13"/>
    <n v="0"/>
    <n v="0"/>
  </r>
  <r>
    <d v="2038-05-07T00:00:00"/>
    <x v="15"/>
    <n v="29.4"/>
    <n v="0"/>
    <n v="0"/>
  </r>
  <r>
    <d v="2038-05-08T00:00:00"/>
    <x v="2"/>
    <n v="19.8"/>
    <n v="13.9"/>
    <n v="2.7522000000000002"/>
  </r>
  <r>
    <d v="2038-05-09T00:00:00"/>
    <x v="7"/>
    <n v="10.9"/>
    <n v="17"/>
    <n v="1.8530000000000002"/>
  </r>
  <r>
    <d v="2038-05-10T00:00:00"/>
    <x v="6"/>
    <n v="27.3"/>
    <n v="15.8"/>
    <n v="4.3134000000000006"/>
  </r>
  <r>
    <d v="2038-05-11T00:00:00"/>
    <x v="15"/>
    <n v="16.399999999999999"/>
    <n v="0"/>
    <n v="0"/>
  </r>
  <r>
    <d v="2038-05-12T00:00:00"/>
    <x v="11"/>
    <n v="28"/>
    <n v="9.6999999999999993"/>
    <n v="2.7159999999999997"/>
  </r>
  <r>
    <d v="2038-05-13T00:00:00"/>
    <x v="3"/>
    <n v="17.399999999999999"/>
    <n v="6.6"/>
    <n v="1.1483999999999999"/>
  </r>
  <r>
    <d v="2038-05-14T00:00:00"/>
    <x v="4"/>
    <n v="25.7"/>
    <n v="0.7"/>
    <n v="0.17989999999999998"/>
  </r>
  <r>
    <d v="2038-05-15T00:00:00"/>
    <x v="15"/>
    <n v="20.100000000000001"/>
    <n v="11"/>
    <n v="2.2110000000000003"/>
  </r>
  <r>
    <d v="2038-05-16T00:00:00"/>
    <x v="15"/>
    <n v="17.899999999999999"/>
    <n v="0"/>
    <n v="0"/>
  </r>
  <r>
    <d v="2038-05-17T00:00:00"/>
    <x v="7"/>
    <n v="10.7"/>
    <n v="6.4"/>
    <n v="0.68480000000000008"/>
  </r>
  <r>
    <d v="2038-05-18T00:00:00"/>
    <x v="5"/>
    <n v="20.399999999999999"/>
    <n v="0"/>
    <n v="0"/>
  </r>
  <r>
    <d v="2038-05-19T00:00:00"/>
    <x v="8"/>
    <n v="25.4"/>
    <n v="1"/>
    <n v="0.254"/>
  </r>
  <r>
    <d v="2038-05-20T00:00:00"/>
    <x v="4"/>
    <n v="10.9"/>
    <n v="0.2"/>
    <n v="2.18E-2"/>
  </r>
  <r>
    <d v="2038-05-21T00:00:00"/>
    <x v="23"/>
    <n v="18.5"/>
    <n v="0.5"/>
    <n v="9.2499999999999999E-2"/>
  </r>
  <r>
    <d v="2038-05-22T00:00:00"/>
    <x v="6"/>
    <n v="14.8"/>
    <n v="50.3"/>
    <n v="7.444399999999999"/>
  </r>
  <r>
    <d v="2038-05-23T00:00:00"/>
    <x v="14"/>
    <n v="28.5"/>
    <n v="0.7"/>
    <n v="0.19949999999999998"/>
  </r>
  <r>
    <d v="2038-05-24T00:00:00"/>
    <x v="27"/>
    <n v="19.399999999999999"/>
    <n v="0"/>
    <n v="0"/>
  </r>
  <r>
    <d v="2038-05-25T00:00:00"/>
    <x v="19"/>
    <n v="20.7"/>
    <n v="4.7"/>
    <n v="0.9729000000000001"/>
  </r>
  <r>
    <d v="2038-05-26T00:00:00"/>
    <x v="22"/>
    <n v="25.7"/>
    <n v="0"/>
    <n v="0"/>
  </r>
  <r>
    <d v="2038-05-27T00:00:00"/>
    <x v="15"/>
    <n v="21.4"/>
    <n v="0"/>
    <n v="0"/>
  </r>
  <r>
    <d v="2038-05-28T00:00:00"/>
    <x v="6"/>
    <n v="19.2"/>
    <n v="0"/>
    <n v="0"/>
  </r>
  <r>
    <d v="2038-05-29T00:00:00"/>
    <x v="14"/>
    <n v="19.399999999999999"/>
    <n v="14.2"/>
    <n v="2.7547999999999995"/>
  </r>
  <r>
    <d v="2038-05-30T00:00:00"/>
    <x v="15"/>
    <n v="24.2"/>
    <n v="1.9"/>
    <n v="0.45979999999999999"/>
  </r>
  <r>
    <d v="2038-05-31T00:00:00"/>
    <x v="3"/>
    <n v="27.7"/>
    <n v="19.5"/>
    <n v="5.4014999999999995"/>
  </r>
  <r>
    <d v="2038-06-01T00:00:00"/>
    <x v="1"/>
    <n v="16.899999999999999"/>
    <n v="4.0999999999999996"/>
    <n v="0.69289999999999996"/>
  </r>
  <r>
    <d v="2038-06-02T00:00:00"/>
    <x v="15"/>
    <n v="11.8"/>
    <n v="0"/>
    <n v="0"/>
  </r>
  <r>
    <d v="2038-06-03T00:00:00"/>
    <x v="8"/>
    <n v="15.7"/>
    <n v="9.4"/>
    <n v="1.4758000000000002"/>
  </r>
  <r>
    <d v="2038-06-04T00:00:00"/>
    <x v="2"/>
    <n v="14.2"/>
    <n v="0"/>
    <n v="0"/>
  </r>
  <r>
    <d v="2038-06-05T00:00:00"/>
    <x v="11"/>
    <n v="18.100000000000001"/>
    <n v="13.1"/>
    <n v="2.3711000000000002"/>
  </r>
  <r>
    <d v="2038-06-06T00:00:00"/>
    <x v="15"/>
    <n v="21.9"/>
    <n v="27.5"/>
    <n v="6.0225"/>
  </r>
  <r>
    <d v="2038-06-07T00:00:00"/>
    <x v="6"/>
    <n v="28"/>
    <n v="2.1"/>
    <n v="0.58800000000000008"/>
  </r>
  <r>
    <d v="2038-06-08T00:00:00"/>
    <x v="9"/>
    <n v="14.2"/>
    <n v="7"/>
    <n v="0.99399999999999988"/>
  </r>
  <r>
    <d v="2038-06-09T00:00:00"/>
    <x v="9"/>
    <n v="11.1"/>
    <n v="0"/>
    <n v="0"/>
  </r>
  <r>
    <d v="2038-06-10T00:00:00"/>
    <x v="10"/>
    <n v="11.8"/>
    <n v="6"/>
    <n v="0.70800000000000007"/>
  </r>
  <r>
    <d v="2038-06-11T00:00:00"/>
    <x v="29"/>
    <n v="26.8"/>
    <n v="0.9"/>
    <n v="0.2412"/>
  </r>
  <r>
    <d v="2038-06-12T00:00:00"/>
    <x v="6"/>
    <n v="27.3"/>
    <n v="44.5"/>
    <n v="12.148500000000002"/>
  </r>
  <r>
    <d v="2038-06-13T00:00:00"/>
    <x v="4"/>
    <n v="14.3"/>
    <n v="3.7"/>
    <n v="0.52910000000000001"/>
  </r>
  <r>
    <d v="2038-06-14T00:00:00"/>
    <x v="1"/>
    <n v="19.399999999999999"/>
    <n v="0"/>
    <n v="0"/>
  </r>
  <r>
    <d v="2038-06-15T00:00:00"/>
    <x v="15"/>
    <n v="26.5"/>
    <n v="0"/>
    <n v="0"/>
  </r>
  <r>
    <d v="2038-06-16T00:00:00"/>
    <x v="15"/>
    <n v="28.3"/>
    <n v="14.4"/>
    <n v="4.0752000000000006"/>
  </r>
  <r>
    <d v="2038-06-17T00:00:00"/>
    <x v="23"/>
    <n v="19.8"/>
    <n v="0"/>
    <n v="0"/>
  </r>
  <r>
    <d v="2038-06-18T00:00:00"/>
    <x v="6"/>
    <n v="16"/>
    <n v="28.7"/>
    <n v="4.5919999999999996"/>
  </r>
  <r>
    <d v="2038-06-19T00:00:00"/>
    <x v="15"/>
    <n v="14.5"/>
    <n v="12"/>
    <n v="1.74"/>
  </r>
  <r>
    <d v="2038-06-20T00:00:00"/>
    <x v="11"/>
    <n v="14.3"/>
    <n v="13"/>
    <n v="1.859"/>
  </r>
  <r>
    <d v="2038-06-21T00:00:00"/>
    <x v="14"/>
    <n v="12.7"/>
    <n v="10.7"/>
    <n v="1.3588999999999998"/>
  </r>
  <r>
    <d v="2038-06-22T00:00:00"/>
    <x v="18"/>
    <n v="12.6"/>
    <n v="0"/>
    <n v="0"/>
  </r>
  <r>
    <d v="2038-06-23T00:00:00"/>
    <x v="22"/>
    <n v="19.899999999999999"/>
    <n v="6.6"/>
    <n v="1.3133999999999997"/>
  </r>
  <r>
    <d v="2038-06-24T00:00:00"/>
    <x v="3"/>
    <n v="27.4"/>
    <n v="6.6"/>
    <n v="1.8083999999999998"/>
  </r>
  <r>
    <d v="2038-06-25T00:00:00"/>
    <x v="15"/>
    <n v="27.4"/>
    <n v="0"/>
    <n v="0"/>
  </r>
  <r>
    <d v="2038-06-26T00:00:00"/>
    <x v="24"/>
    <n v="11.2"/>
    <n v="0.3"/>
    <n v="3.3599999999999998E-2"/>
  </r>
  <r>
    <d v="2038-06-27T00:00:00"/>
    <x v="7"/>
    <n v="19.899999999999999"/>
    <n v="19.399999999999999"/>
    <n v="3.8605999999999994"/>
  </r>
  <r>
    <d v="2038-06-28T00:00:00"/>
    <x v="0"/>
    <n v="13"/>
    <n v="0.4"/>
    <n v="5.2000000000000005E-2"/>
  </r>
  <r>
    <d v="2038-06-29T00:00:00"/>
    <x v="14"/>
    <n v="25.4"/>
    <n v="12.4"/>
    <n v="3.1496"/>
  </r>
  <r>
    <d v="2038-06-30T00:00:00"/>
    <x v="5"/>
    <n v="23.5"/>
    <n v="0.7"/>
    <n v="0.16449999999999998"/>
  </r>
  <r>
    <d v="2038-07-01T00:00:00"/>
    <x v="18"/>
    <n v="16"/>
    <n v="0.1"/>
    <n v="1.6E-2"/>
  </r>
  <r>
    <d v="2038-07-02T00:00:00"/>
    <x v="2"/>
    <n v="25"/>
    <n v="11.7"/>
    <n v="2.9249999999999998"/>
  </r>
  <r>
    <d v="2038-07-03T00:00:00"/>
    <x v="27"/>
    <n v="22.2"/>
    <n v="0.9"/>
    <n v="0.19980000000000001"/>
  </r>
  <r>
    <d v="2038-07-04T00:00:00"/>
    <x v="20"/>
    <n v="29.6"/>
    <n v="0"/>
    <n v="0"/>
  </r>
  <r>
    <d v="2038-07-05T00:00:00"/>
    <x v="6"/>
    <n v="10.1"/>
    <n v="0"/>
    <n v="0"/>
  </r>
  <r>
    <d v="2038-07-06T00:00:00"/>
    <x v="5"/>
    <n v="26.3"/>
    <n v="6.7"/>
    <n v="1.7621"/>
  </r>
  <r>
    <d v="2038-07-07T00:00:00"/>
    <x v="6"/>
    <n v="27.3"/>
    <n v="15.3"/>
    <n v="4.1769000000000007"/>
  </r>
  <r>
    <d v="2038-07-08T00:00:00"/>
    <x v="7"/>
    <n v="27.8"/>
    <n v="0"/>
    <n v="0"/>
  </r>
  <r>
    <d v="2038-07-09T00:00:00"/>
    <x v="2"/>
    <n v="16.7"/>
    <n v="4.9000000000000004"/>
    <n v="0.81830000000000003"/>
  </r>
  <r>
    <d v="2038-07-10T00:00:00"/>
    <x v="11"/>
    <n v="15"/>
    <n v="9.4"/>
    <n v="1.41"/>
  </r>
  <r>
    <d v="2038-07-11T00:00:00"/>
    <x v="6"/>
    <n v="10.4"/>
    <n v="28.5"/>
    <n v="2.9640000000000004"/>
  </r>
  <r>
    <d v="2038-07-12T00:00:00"/>
    <x v="11"/>
    <n v="18.100000000000001"/>
    <n v="9.6"/>
    <n v="1.7376000000000003"/>
  </r>
  <r>
    <d v="2038-07-13T00:00:00"/>
    <x v="29"/>
    <n v="26.7"/>
    <n v="1.5"/>
    <n v="0.40049999999999997"/>
  </r>
  <r>
    <d v="2038-07-14T00:00:00"/>
    <x v="9"/>
    <n v="22.9"/>
    <n v="8.9"/>
    <n v="2.0381"/>
  </r>
  <r>
    <d v="2038-07-15T00:00:00"/>
    <x v="11"/>
    <n v="29.3"/>
    <n v="0"/>
    <n v="0"/>
  </r>
  <r>
    <d v="2038-07-16T00:00:00"/>
    <x v="3"/>
    <n v="26.4"/>
    <n v="3.2"/>
    <n v="0.8448"/>
  </r>
  <r>
    <d v="2038-07-17T00:00:00"/>
    <x v="14"/>
    <n v="20"/>
    <n v="7.3"/>
    <n v="1.46"/>
  </r>
  <r>
    <d v="2038-07-18T00:00:00"/>
    <x v="7"/>
    <n v="17.100000000000001"/>
    <n v="0"/>
    <n v="0"/>
  </r>
  <r>
    <d v="2038-07-19T00:00:00"/>
    <x v="1"/>
    <n v="18.8"/>
    <n v="0"/>
    <n v="0"/>
  </r>
  <r>
    <d v="2038-07-20T00:00:00"/>
    <x v="9"/>
    <n v="12.6"/>
    <n v="4.4000000000000004"/>
    <n v="0.5544"/>
  </r>
  <r>
    <d v="2038-07-21T00:00:00"/>
    <x v="18"/>
    <n v="24"/>
    <n v="0"/>
    <n v="0"/>
  </r>
  <r>
    <d v="2038-07-22T00:00:00"/>
    <x v="15"/>
    <n v="13.4"/>
    <n v="35.6"/>
    <n v="4.7704000000000004"/>
  </r>
  <r>
    <d v="2038-07-23T00:00:00"/>
    <x v="6"/>
    <n v="25.7"/>
    <n v="21.1"/>
    <n v="5.4226999999999999"/>
  </r>
  <r>
    <d v="2038-07-24T00:00:00"/>
    <x v="17"/>
    <n v="24.9"/>
    <n v="2"/>
    <n v="0.498"/>
  </r>
  <r>
    <d v="2038-07-25T00:00:00"/>
    <x v="7"/>
    <n v="12.5"/>
    <n v="0"/>
    <n v="0"/>
  </r>
  <r>
    <d v="2038-07-26T00:00:00"/>
    <x v="6"/>
    <n v="21.8"/>
    <n v="0"/>
    <n v="0"/>
  </r>
  <r>
    <d v="2038-07-27T00:00:00"/>
    <x v="1"/>
    <n v="15.8"/>
    <n v="6.7"/>
    <n v="1.0586000000000002"/>
  </r>
  <r>
    <d v="2038-07-28T00:00:00"/>
    <x v="8"/>
    <n v="13.9"/>
    <n v="0"/>
    <n v="0"/>
  </r>
  <r>
    <d v="2038-07-29T00:00:00"/>
    <x v="16"/>
    <n v="12.2"/>
    <n v="4.4000000000000004"/>
    <n v="0.53679999999999994"/>
  </r>
  <r>
    <d v="2038-07-30T00:00:00"/>
    <x v="7"/>
    <n v="12.2"/>
    <n v="0"/>
    <n v="0"/>
  </r>
  <r>
    <d v="2038-07-31T00:00:00"/>
    <x v="15"/>
    <n v="13.7"/>
    <n v="28"/>
    <n v="3.8359999999999999"/>
  </r>
  <r>
    <d v="2038-08-01T00:00:00"/>
    <x v="13"/>
    <n v="27.9"/>
    <n v="0"/>
    <n v="0"/>
  </r>
  <r>
    <d v="2038-08-02T00:00:00"/>
    <x v="9"/>
    <n v="25.6"/>
    <n v="1.7"/>
    <n v="0.43520000000000003"/>
  </r>
  <r>
    <d v="2038-08-03T00:00:00"/>
    <x v="10"/>
    <n v="11.7"/>
    <n v="4.5999999999999996"/>
    <n v="0.5381999999999999"/>
  </r>
  <r>
    <d v="2038-08-04T00:00:00"/>
    <x v="4"/>
    <n v="27.3"/>
    <n v="0"/>
    <n v="0"/>
  </r>
  <r>
    <d v="2038-08-05T00:00:00"/>
    <x v="7"/>
    <n v="25.6"/>
    <n v="18.2"/>
    <n v="4.6592000000000002"/>
  </r>
  <r>
    <d v="2038-08-06T00:00:00"/>
    <x v="24"/>
    <n v="23.6"/>
    <n v="0.1"/>
    <n v="2.3600000000000003E-2"/>
  </r>
  <r>
    <d v="2038-08-07T00:00:00"/>
    <x v="6"/>
    <n v="14.6"/>
    <n v="0"/>
    <n v="0"/>
  </r>
  <r>
    <d v="2038-08-08T00:00:00"/>
    <x v="5"/>
    <n v="17.399999999999999"/>
    <n v="7.8"/>
    <n v="1.3572"/>
  </r>
  <r>
    <d v="2038-08-09T00:00:00"/>
    <x v="6"/>
    <n v="27.4"/>
    <n v="0"/>
    <n v="0"/>
  </r>
  <r>
    <d v="2038-08-10T00:00:00"/>
    <x v="15"/>
    <n v="15.2"/>
    <n v="5.9"/>
    <n v="0.89680000000000004"/>
  </r>
  <r>
    <d v="2038-08-11T00:00:00"/>
    <x v="25"/>
    <n v="11.6"/>
    <n v="0"/>
    <n v="0"/>
  </r>
  <r>
    <d v="2038-08-12T00:00:00"/>
    <x v="22"/>
    <n v="10.8"/>
    <n v="1.6"/>
    <n v="0.17280000000000001"/>
  </r>
  <r>
    <d v="2038-08-13T00:00:00"/>
    <x v="18"/>
    <n v="12"/>
    <n v="3.9"/>
    <n v="0.46799999999999997"/>
  </r>
  <r>
    <d v="2038-08-14T00:00:00"/>
    <x v="22"/>
    <n v="14"/>
    <n v="5"/>
    <n v="0.7"/>
  </r>
  <r>
    <d v="2038-08-15T00:00:00"/>
    <x v="15"/>
    <n v="26.4"/>
    <n v="0"/>
    <n v="0"/>
  </r>
  <r>
    <d v="2038-08-16T00:00:00"/>
    <x v="11"/>
    <n v="23"/>
    <n v="20.100000000000001"/>
    <n v="4.6230000000000002"/>
  </r>
  <r>
    <d v="2038-08-17T00:00:00"/>
    <x v="4"/>
    <n v="20.5"/>
    <n v="1.1000000000000001"/>
    <n v="0.22550000000000001"/>
  </r>
  <r>
    <d v="2038-08-18T00:00:00"/>
    <x v="10"/>
    <n v="15.9"/>
    <n v="3.1"/>
    <n v="0.4929"/>
  </r>
  <r>
    <d v="2038-08-19T00:00:00"/>
    <x v="6"/>
    <n v="20.8"/>
    <n v="6.9"/>
    <n v="1.4352"/>
  </r>
  <r>
    <d v="2038-08-20T00:00:00"/>
    <x v="17"/>
    <n v="12.9"/>
    <n v="1.5"/>
    <n v="0.19350000000000001"/>
  </r>
  <r>
    <d v="2038-08-21T00:00:00"/>
    <x v="15"/>
    <n v="11.6"/>
    <n v="15.8"/>
    <n v="1.8328"/>
  </r>
  <r>
    <d v="2038-08-22T00:00:00"/>
    <x v="9"/>
    <n v="25.6"/>
    <n v="0"/>
    <n v="0"/>
  </r>
  <r>
    <d v="2038-08-23T00:00:00"/>
    <x v="3"/>
    <n v="15.7"/>
    <n v="6.7"/>
    <n v="1.0519000000000001"/>
  </r>
  <r>
    <d v="2038-08-24T00:00:00"/>
    <x v="10"/>
    <n v="25.5"/>
    <n v="0"/>
    <n v="0"/>
  </r>
  <r>
    <d v="2038-08-25T00:00:00"/>
    <x v="18"/>
    <n v="19.5"/>
    <n v="3.4"/>
    <n v="0.66299999999999992"/>
  </r>
  <r>
    <d v="2038-08-26T00:00:00"/>
    <x v="21"/>
    <n v="14.1"/>
    <n v="0"/>
    <n v="0"/>
  </r>
  <r>
    <d v="2038-08-27T00:00:00"/>
    <x v="2"/>
    <n v="26.4"/>
    <n v="0"/>
    <n v="0"/>
  </r>
  <r>
    <d v="2038-08-28T00:00:00"/>
    <x v="11"/>
    <n v="11.7"/>
    <n v="8.4"/>
    <n v="0.98280000000000001"/>
  </r>
  <r>
    <d v="2038-08-29T00:00:00"/>
    <x v="21"/>
    <n v="28"/>
    <n v="0"/>
    <n v="0"/>
  </r>
  <r>
    <d v="2038-08-30T00:00:00"/>
    <x v="13"/>
    <n v="13"/>
    <n v="0.1"/>
    <n v="1.3000000000000001E-2"/>
  </r>
  <r>
    <d v="2038-08-31T00:00:00"/>
    <x v="7"/>
    <n v="10.8"/>
    <n v="11.3"/>
    <n v="1.2204000000000002"/>
  </r>
  <r>
    <d v="2038-09-01T00:00:00"/>
    <x v="7"/>
    <n v="26.4"/>
    <n v="18.7"/>
    <n v="4.9367999999999999"/>
  </r>
  <r>
    <d v="2038-09-02T00:00:00"/>
    <x v="15"/>
    <n v="26.7"/>
    <n v="3.9"/>
    <n v="1.0412999999999999"/>
  </r>
  <r>
    <d v="2038-09-03T00:00:00"/>
    <x v="7"/>
    <n v="11.7"/>
    <n v="13"/>
    <n v="1.5209999999999999"/>
  </r>
  <r>
    <d v="2038-09-04T00:00:00"/>
    <x v="26"/>
    <n v="12"/>
    <n v="0.4"/>
    <n v="4.8000000000000008E-2"/>
  </r>
  <r>
    <d v="2038-09-05T00:00:00"/>
    <x v="17"/>
    <n v="24.2"/>
    <n v="0.7"/>
    <n v="0.16939999999999997"/>
  </r>
  <r>
    <d v="2038-09-06T00:00:00"/>
    <x v="22"/>
    <n v="27.3"/>
    <n v="3.7"/>
    <n v="1.0101"/>
  </r>
  <r>
    <d v="2038-09-07T00:00:00"/>
    <x v="9"/>
    <n v="10.7"/>
    <n v="0"/>
    <n v="0"/>
  </r>
  <r>
    <d v="2038-09-08T00:00:00"/>
    <x v="4"/>
    <n v="11.1"/>
    <n v="0"/>
    <n v="0"/>
  </r>
  <r>
    <d v="2038-09-09T00:00:00"/>
    <x v="3"/>
    <n v="28.5"/>
    <n v="19.8"/>
    <n v="5.6430000000000007"/>
  </r>
  <r>
    <d v="2038-09-10T00:00:00"/>
    <x v="15"/>
    <n v="10.1"/>
    <n v="0"/>
    <n v="0"/>
  </r>
  <r>
    <d v="2038-09-11T00:00:00"/>
    <x v="5"/>
    <n v="20.8"/>
    <n v="11.2"/>
    <n v="2.3295999999999997"/>
  </r>
  <r>
    <d v="2038-09-12T00:00:00"/>
    <x v="3"/>
    <n v="16.600000000000001"/>
    <n v="0"/>
    <n v="0"/>
  </r>
  <r>
    <d v="2038-09-13T00:00:00"/>
    <x v="9"/>
    <n v="26.4"/>
    <n v="10"/>
    <n v="2.64"/>
  </r>
  <r>
    <d v="2038-09-14T00:00:00"/>
    <x v="18"/>
    <n v="15.1"/>
    <n v="0"/>
    <n v="0"/>
  </r>
  <r>
    <d v="2038-09-15T00:00:00"/>
    <x v="2"/>
    <n v="20.9"/>
    <n v="10.1"/>
    <n v="2.1108999999999996"/>
  </r>
  <r>
    <d v="2038-09-16T00:00:00"/>
    <x v="9"/>
    <n v="27.3"/>
    <n v="5.3"/>
    <n v="1.4469000000000001"/>
  </r>
  <r>
    <d v="2038-09-17T00:00:00"/>
    <x v="2"/>
    <n v="17.600000000000001"/>
    <n v="5.5"/>
    <n v="0.96800000000000008"/>
  </r>
  <r>
    <d v="2038-09-18T00:00:00"/>
    <x v="15"/>
    <n v="27.8"/>
    <n v="0"/>
    <n v="0"/>
  </r>
  <r>
    <d v="2038-09-19T00:00:00"/>
    <x v="6"/>
    <n v="25.8"/>
    <n v="12.1"/>
    <n v="3.1217999999999999"/>
  </r>
  <r>
    <d v="2038-09-20T00:00:00"/>
    <x v="22"/>
    <n v="18.100000000000001"/>
    <n v="1.1000000000000001"/>
    <n v="0.19910000000000003"/>
  </r>
  <r>
    <d v="2038-09-21T00:00:00"/>
    <x v="8"/>
    <n v="21.9"/>
    <n v="7.7"/>
    <n v="1.6862999999999999"/>
  </r>
  <r>
    <d v="2038-09-22T00:00:00"/>
    <x v="23"/>
    <n v="23.2"/>
    <n v="5.0999999999999996"/>
    <n v="1.1832"/>
  </r>
  <r>
    <d v="2038-09-23T00:00:00"/>
    <x v="27"/>
    <n v="26.6"/>
    <n v="0.3"/>
    <n v="7.980000000000001E-2"/>
  </r>
  <r>
    <d v="2038-09-24T00:00:00"/>
    <x v="7"/>
    <n v="23.2"/>
    <n v="0"/>
    <n v="0"/>
  </r>
  <r>
    <d v="2038-09-25T00:00:00"/>
    <x v="6"/>
    <n v="11"/>
    <n v="40.9"/>
    <n v="4.4989999999999997"/>
  </r>
  <r>
    <d v="2038-09-26T00:00:00"/>
    <x v="19"/>
    <n v="26.8"/>
    <n v="2.2999999999999998"/>
    <n v="0.61639999999999995"/>
  </r>
  <r>
    <d v="2038-09-27T00:00:00"/>
    <x v="9"/>
    <n v="22.2"/>
    <n v="0"/>
    <n v="0"/>
  </r>
  <r>
    <d v="2038-09-28T00:00:00"/>
    <x v="14"/>
    <n v="10.199999999999999"/>
    <n v="6.1"/>
    <n v="0.62219999999999986"/>
  </r>
  <r>
    <d v="2038-09-29T00:00:00"/>
    <x v="29"/>
    <n v="18.399999999999999"/>
    <n v="1.5"/>
    <n v="0.27599999999999997"/>
  </r>
  <r>
    <d v="2038-09-30T00:00:00"/>
    <x v="3"/>
    <n v="29.4"/>
    <n v="22.3"/>
    <n v="6.5562000000000005"/>
  </r>
  <r>
    <d v="2038-10-01T00:00:00"/>
    <x v="19"/>
    <n v="23.4"/>
    <n v="0"/>
    <n v="0"/>
  </r>
  <r>
    <d v="2038-10-02T00:00:00"/>
    <x v="1"/>
    <n v="13.6"/>
    <n v="6.1"/>
    <n v="0.82959999999999989"/>
  </r>
  <r>
    <d v="2038-10-03T00:00:00"/>
    <x v="3"/>
    <n v="17.7"/>
    <n v="1.4"/>
    <n v="0.24779999999999996"/>
  </r>
  <r>
    <d v="2038-10-04T00:00:00"/>
    <x v="19"/>
    <n v="17"/>
    <n v="5.9"/>
    <n v="1.0030000000000001"/>
  </r>
  <r>
    <d v="2038-10-05T00:00:00"/>
    <x v="2"/>
    <n v="29.6"/>
    <n v="6.6"/>
    <n v="1.9535999999999998"/>
  </r>
  <r>
    <d v="2038-10-06T00:00:00"/>
    <x v="6"/>
    <n v="23.4"/>
    <n v="0"/>
    <n v="0"/>
  </r>
  <r>
    <d v="2038-10-07T00:00:00"/>
    <x v="3"/>
    <n v="21.3"/>
    <n v="22.4"/>
    <n v="4.7712000000000003"/>
  </r>
  <r>
    <d v="2038-10-08T00:00:00"/>
    <x v="15"/>
    <n v="18.600000000000001"/>
    <n v="0"/>
    <n v="0"/>
  </r>
  <r>
    <d v="2038-10-09T00:00:00"/>
    <x v="9"/>
    <n v="16.8"/>
    <n v="2.8"/>
    <n v="0.47039999999999998"/>
  </r>
  <r>
    <d v="2038-10-10T00:00:00"/>
    <x v="16"/>
    <n v="13.2"/>
    <n v="4"/>
    <n v="0.52800000000000002"/>
  </r>
  <r>
    <d v="2038-10-11T00:00:00"/>
    <x v="15"/>
    <n v="29.8"/>
    <n v="24.9"/>
    <n v="7.4201999999999995"/>
  </r>
  <r>
    <d v="2038-10-12T00:00:00"/>
    <x v="6"/>
    <n v="10.6"/>
    <n v="31.8"/>
    <n v="3.3708"/>
  </r>
  <r>
    <d v="2038-10-13T00:00:00"/>
    <x v="11"/>
    <n v="11.9"/>
    <n v="12.3"/>
    <n v="1.4637"/>
  </r>
  <r>
    <d v="2038-10-14T00:00:00"/>
    <x v="26"/>
    <n v="26.8"/>
    <n v="0.5"/>
    <n v="0.13400000000000001"/>
  </r>
  <r>
    <d v="2038-10-15T00:00:00"/>
    <x v="18"/>
    <n v="29"/>
    <n v="3.5"/>
    <n v="1.0149999999999999"/>
  </r>
  <r>
    <d v="2038-10-16T00:00:00"/>
    <x v="16"/>
    <n v="22.9"/>
    <n v="2"/>
    <n v="0.45799999999999996"/>
  </r>
  <r>
    <d v="2038-10-17T00:00:00"/>
    <x v="17"/>
    <n v="27.1"/>
    <n v="0"/>
    <n v="0"/>
  </r>
  <r>
    <d v="2038-10-18T00:00:00"/>
    <x v="6"/>
    <n v="11.8"/>
    <n v="49"/>
    <n v="5.782"/>
  </r>
  <r>
    <d v="2038-10-19T00:00:00"/>
    <x v="2"/>
    <n v="26.6"/>
    <n v="0"/>
    <n v="0"/>
  </r>
  <r>
    <d v="2038-10-20T00:00:00"/>
    <x v="14"/>
    <n v="21.3"/>
    <n v="0"/>
    <n v="0"/>
  </r>
  <r>
    <d v="2038-10-21T00:00:00"/>
    <x v="7"/>
    <n v="23.2"/>
    <n v="0"/>
    <n v="0"/>
  </r>
  <r>
    <d v="2038-10-22T00:00:00"/>
    <x v="6"/>
    <n v="27.3"/>
    <n v="0"/>
    <n v="0"/>
  </r>
  <r>
    <d v="2038-10-23T00:00:00"/>
    <x v="9"/>
    <n v="21.3"/>
    <n v="2.6"/>
    <n v="0.55380000000000007"/>
  </r>
  <r>
    <d v="2038-10-24T00:00:00"/>
    <x v="15"/>
    <n v="22.9"/>
    <n v="5.3"/>
    <n v="1.2137"/>
  </r>
  <r>
    <d v="2038-10-25T00:00:00"/>
    <x v="24"/>
    <n v="25"/>
    <n v="0"/>
    <n v="0"/>
  </r>
  <r>
    <d v="2038-10-26T00:00:00"/>
    <x v="20"/>
    <n v="15.9"/>
    <n v="2.5"/>
    <n v="0.39750000000000002"/>
  </r>
  <r>
    <d v="2038-10-27T00:00:00"/>
    <x v="18"/>
    <n v="19.2"/>
    <n v="1.3"/>
    <n v="0.24960000000000002"/>
  </r>
  <r>
    <d v="2038-10-28T00:00:00"/>
    <x v="3"/>
    <n v="22.5"/>
    <n v="10.9"/>
    <n v="2.4525000000000001"/>
  </r>
  <r>
    <d v="2038-10-29T00:00:00"/>
    <x v="9"/>
    <n v="28.7"/>
    <n v="13.3"/>
    <n v="3.8171000000000004"/>
  </r>
  <r>
    <d v="2038-10-30T00:00:00"/>
    <x v="15"/>
    <n v="14.6"/>
    <n v="29.3"/>
    <n v="4.2778"/>
  </r>
  <r>
    <d v="2038-10-31T00:00:00"/>
    <x v="14"/>
    <n v="12.1"/>
    <n v="6.5"/>
    <n v="0.78649999999999987"/>
  </r>
  <r>
    <d v="2038-11-01T00:00:00"/>
    <x v="15"/>
    <n v="20"/>
    <n v="26.1"/>
    <n v="5.22"/>
  </r>
  <r>
    <d v="2038-11-02T00:00:00"/>
    <x v="23"/>
    <n v="20.8"/>
    <n v="2.5"/>
    <n v="0.52"/>
  </r>
  <r>
    <d v="2038-11-03T00:00:00"/>
    <x v="3"/>
    <n v="26.6"/>
    <n v="5.9"/>
    <n v="1.56940000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x v="0"/>
    <x v="0"/>
    <n v="27.8"/>
    <n v="0.2"/>
    <n v="5.5600000000000004E-2"/>
    <n v="1"/>
    <s v=""/>
  </r>
  <r>
    <x v="1"/>
    <x v="1"/>
    <n v="11.8"/>
    <n v="1.7"/>
    <n v="0.20060000000000003"/>
    <n v="2"/>
    <m/>
  </r>
  <r>
    <x v="2"/>
    <x v="2"/>
    <n v="21"/>
    <n v="6"/>
    <n v="1.26"/>
    <n v="3"/>
    <m/>
  </r>
  <r>
    <x v="3"/>
    <x v="3"/>
    <n v="26.3"/>
    <n v="11.4"/>
    <n v="2.9981999999999998"/>
    <n v="4"/>
    <m/>
  </r>
  <r>
    <x v="4"/>
    <x v="4"/>
    <n v="28.8"/>
    <n v="0"/>
    <n v="0"/>
    <n v="5"/>
    <m/>
  </r>
  <r>
    <x v="5"/>
    <x v="5"/>
    <n v="29.2"/>
    <n v="0"/>
    <n v="0"/>
    <n v="6"/>
    <m/>
  </r>
  <r>
    <x v="6"/>
    <x v="6"/>
    <n v="25.6"/>
    <n v="28.7"/>
    <n v="7.3472"/>
    <n v="7"/>
    <n v="170.5"/>
  </r>
  <r>
    <x v="7"/>
    <x v="7"/>
    <n v="10.1"/>
    <n v="7.7"/>
    <n v="0.77769999999999995"/>
    <n v="1"/>
    <s v=""/>
  </r>
  <r>
    <x v="8"/>
    <x v="8"/>
    <n v="14.6"/>
    <n v="0"/>
    <n v="0"/>
    <n v="2"/>
    <s v=""/>
  </r>
  <r>
    <x v="9"/>
    <x v="9"/>
    <n v="11.5"/>
    <n v="1.9"/>
    <n v="0.21849999999999997"/>
    <n v="3"/>
    <s v=""/>
  </r>
  <r>
    <x v="10"/>
    <x v="5"/>
    <n v="15.2"/>
    <n v="0"/>
    <n v="0"/>
    <n v="4"/>
    <s v=""/>
  </r>
  <r>
    <x v="11"/>
    <x v="6"/>
    <n v="10.199999999999999"/>
    <n v="13.3"/>
    <n v="1.3566"/>
    <n v="5"/>
    <s v=""/>
  </r>
  <r>
    <x v="12"/>
    <x v="10"/>
    <n v="20.399999999999999"/>
    <n v="4.5999999999999996"/>
    <n v="0.9383999999999999"/>
    <n v="6"/>
    <s v=""/>
  </r>
  <r>
    <x v="13"/>
    <x v="10"/>
    <n v="13.6"/>
    <n v="8"/>
    <n v="1.0880000000000001"/>
    <n v="7"/>
    <n v="95.6"/>
  </r>
  <r>
    <x v="14"/>
    <x v="11"/>
    <n v="11"/>
    <n v="11.6"/>
    <n v="1.276"/>
    <n v="1"/>
    <s v=""/>
  </r>
  <r>
    <x v="15"/>
    <x v="12"/>
    <n v="14.1"/>
    <n v="0"/>
    <n v="0"/>
    <n v="2"/>
    <s v=""/>
  </r>
  <r>
    <x v="16"/>
    <x v="6"/>
    <n v="19.2"/>
    <n v="0"/>
    <n v="0"/>
    <n v="3"/>
    <s v=""/>
  </r>
  <r>
    <x v="17"/>
    <x v="6"/>
    <n v="20.7"/>
    <n v="0"/>
    <n v="0"/>
    <n v="4"/>
    <s v=""/>
  </r>
  <r>
    <x v="18"/>
    <x v="13"/>
    <n v="29.5"/>
    <n v="2.1"/>
    <n v="0.61950000000000005"/>
    <n v="5"/>
    <s v=""/>
  </r>
  <r>
    <x v="19"/>
    <x v="7"/>
    <n v="24.4"/>
    <n v="10.1"/>
    <n v="2.4643999999999995"/>
    <n v="6"/>
    <s v=""/>
  </r>
  <r>
    <x v="20"/>
    <x v="14"/>
    <n v="15.6"/>
    <n v="6.6"/>
    <n v="1.0295999999999998"/>
    <n v="7"/>
    <n v="134.5"/>
  </r>
  <r>
    <x v="21"/>
    <x v="5"/>
    <n v="22.7"/>
    <n v="2.9"/>
    <n v="0.6583"/>
    <n v="1"/>
    <s v=""/>
  </r>
  <r>
    <x v="22"/>
    <x v="11"/>
    <n v="15.1"/>
    <n v="0"/>
    <n v="0"/>
    <n v="2"/>
    <s v=""/>
  </r>
  <r>
    <x v="23"/>
    <x v="15"/>
    <n v="14.1"/>
    <n v="0.8"/>
    <n v="0.11280000000000001"/>
    <n v="3"/>
    <s v=""/>
  </r>
  <r>
    <x v="24"/>
    <x v="3"/>
    <n v="24.9"/>
    <n v="2.2000000000000002"/>
    <n v="0.54780000000000006"/>
    <n v="4"/>
    <s v=""/>
  </r>
  <r>
    <x v="25"/>
    <x v="16"/>
    <n v="14.8"/>
    <n v="0"/>
    <n v="0"/>
    <n v="5"/>
    <s v=""/>
  </r>
  <r>
    <x v="26"/>
    <x v="10"/>
    <n v="18.8"/>
    <n v="0"/>
    <n v="0"/>
    <n v="6"/>
    <s v=""/>
  </r>
  <r>
    <x v="27"/>
    <x v="11"/>
    <n v="29.3"/>
    <n v="8"/>
    <n v="2.3439999999999999"/>
    <n v="7"/>
    <n v="139.69999999999999"/>
  </r>
  <r>
    <x v="28"/>
    <x v="17"/>
    <n v="29.4"/>
    <n v="2.4"/>
    <n v="0.70559999999999989"/>
    <n v="1"/>
    <s v=""/>
  </r>
  <r>
    <x v="29"/>
    <x v="18"/>
    <n v="16.8"/>
    <n v="2.9"/>
    <n v="0.48719999999999997"/>
    <n v="2"/>
    <s v=""/>
  </r>
  <r>
    <x v="30"/>
    <x v="8"/>
    <n v="21.4"/>
    <n v="6.3"/>
    <n v="1.3481999999999998"/>
    <n v="3"/>
    <s v=""/>
  </r>
  <r>
    <x v="31"/>
    <x v="3"/>
    <n v="23.9"/>
    <n v="0"/>
    <n v="0"/>
    <n v="4"/>
    <s v=""/>
  </r>
  <r>
    <x v="32"/>
    <x v="8"/>
    <n v="26.7"/>
    <n v="0"/>
    <n v="0"/>
    <n v="5"/>
    <s v=""/>
  </r>
  <r>
    <x v="33"/>
    <x v="3"/>
    <n v="12.4"/>
    <n v="0"/>
    <n v="0"/>
    <n v="6"/>
    <s v=""/>
  </r>
  <r>
    <x v="34"/>
    <x v="8"/>
    <n v="10.4"/>
    <n v="10.7"/>
    <n v="1.1128"/>
    <n v="7"/>
    <n v="141"/>
  </r>
  <r>
    <x v="35"/>
    <x v="5"/>
    <n v="17.899999999999999"/>
    <n v="0"/>
    <n v="0"/>
    <n v="1"/>
    <s v=""/>
  </r>
  <r>
    <x v="36"/>
    <x v="16"/>
    <n v="17.399999999999999"/>
    <n v="1.6"/>
    <n v="0.27839999999999998"/>
    <n v="2"/>
    <s v=""/>
  </r>
  <r>
    <x v="37"/>
    <x v="7"/>
    <n v="29.4"/>
    <n v="21.7"/>
    <n v="6.3797999999999995"/>
    <n v="3"/>
    <s v=""/>
  </r>
  <r>
    <x v="38"/>
    <x v="15"/>
    <n v="22.9"/>
    <n v="26.9"/>
    <n v="6.160099999999999"/>
    <n v="4"/>
    <s v=""/>
  </r>
  <r>
    <x v="39"/>
    <x v="15"/>
    <n v="18.899999999999999"/>
    <n v="11.3"/>
    <n v="2.1356999999999999"/>
    <n v="5"/>
    <s v=""/>
  </r>
  <r>
    <x v="40"/>
    <x v="1"/>
    <n v="23.5"/>
    <n v="0"/>
    <n v="0"/>
    <n v="6"/>
    <s v=""/>
  </r>
  <r>
    <x v="41"/>
    <x v="14"/>
    <n v="13.4"/>
    <n v="14.2"/>
    <n v="1.9028"/>
    <n v="7"/>
    <n v="143.4"/>
  </r>
  <r>
    <x v="42"/>
    <x v="16"/>
    <n v="18.899999999999999"/>
    <n v="1.5"/>
    <n v="0.28349999999999997"/>
    <n v="1"/>
    <s v=""/>
  </r>
  <r>
    <x v="43"/>
    <x v="13"/>
    <n v="13.5"/>
    <n v="1.4"/>
    <n v="0.18899999999999997"/>
    <n v="2"/>
    <s v=""/>
  </r>
  <r>
    <x v="44"/>
    <x v="1"/>
    <n v="17.7"/>
    <n v="5.9"/>
    <n v="1.0443"/>
    <n v="3"/>
    <s v=""/>
  </r>
  <r>
    <x v="45"/>
    <x v="7"/>
    <n v="24.7"/>
    <n v="0"/>
    <n v="0"/>
    <n v="4"/>
    <s v=""/>
  </r>
  <r>
    <x v="46"/>
    <x v="14"/>
    <n v="25.6"/>
    <n v="1.9"/>
    <n v="0.4864"/>
    <n v="5"/>
    <s v=""/>
  </r>
  <r>
    <x v="47"/>
    <x v="18"/>
    <n v="18.399999999999999"/>
    <n v="0"/>
    <n v="0"/>
    <n v="6"/>
    <s v=""/>
  </r>
  <r>
    <x v="48"/>
    <x v="19"/>
    <n v="27"/>
    <n v="0"/>
    <n v="0"/>
    <n v="7"/>
    <n v="145.80000000000001"/>
  </r>
  <r>
    <x v="49"/>
    <x v="6"/>
    <n v="16"/>
    <n v="0"/>
    <n v="0"/>
    <n v="1"/>
    <s v=""/>
  </r>
  <r>
    <x v="50"/>
    <x v="3"/>
    <n v="18.600000000000001"/>
    <n v="7.4"/>
    <n v="1.3764000000000001"/>
    <n v="2"/>
    <s v=""/>
  </r>
  <r>
    <x v="51"/>
    <x v="6"/>
    <n v="12.7"/>
    <n v="30.8"/>
    <n v="3.9115999999999995"/>
    <n v="3"/>
    <s v=""/>
  </r>
  <r>
    <x v="52"/>
    <x v="15"/>
    <n v="14.5"/>
    <n v="0"/>
    <n v="0"/>
    <n v="4"/>
    <s v=""/>
  </r>
  <r>
    <x v="53"/>
    <x v="20"/>
    <n v="12.2"/>
    <n v="3.5"/>
    <n v="0.42699999999999994"/>
    <n v="5"/>
    <s v=""/>
  </r>
  <r>
    <x v="54"/>
    <x v="21"/>
    <n v="19.899999999999999"/>
    <n v="0"/>
    <n v="0"/>
    <n v="6"/>
    <s v=""/>
  </r>
  <r>
    <x v="55"/>
    <x v="22"/>
    <n v="28.1"/>
    <n v="5.3"/>
    <n v="1.4893000000000001"/>
    <n v="7"/>
    <n v="122"/>
  </r>
  <r>
    <x v="56"/>
    <x v="6"/>
    <n v="27.7"/>
    <n v="45.3"/>
    <n v="12.5481"/>
    <n v="1"/>
    <s v=""/>
  </r>
  <r>
    <x v="57"/>
    <x v="1"/>
    <n v="14.6"/>
    <n v="5.2"/>
    <n v="0.75919999999999999"/>
    <n v="2"/>
    <s v=""/>
  </r>
  <r>
    <x v="58"/>
    <x v="14"/>
    <n v="10.8"/>
    <n v="0"/>
    <n v="0"/>
    <n v="3"/>
    <s v=""/>
  </r>
  <r>
    <x v="59"/>
    <x v="23"/>
    <n v="12.4"/>
    <n v="3.2"/>
    <n v="0.39680000000000004"/>
    <n v="4"/>
    <s v=""/>
  </r>
  <r>
    <x v="60"/>
    <x v="6"/>
    <n v="25.2"/>
    <n v="0"/>
    <n v="0"/>
    <n v="5"/>
    <s v=""/>
  </r>
  <r>
    <x v="61"/>
    <x v="6"/>
    <n v="28.9"/>
    <n v="0"/>
    <n v="0"/>
    <n v="6"/>
    <s v=""/>
  </r>
  <r>
    <x v="62"/>
    <x v="15"/>
    <n v="13.2"/>
    <n v="23.3"/>
    <n v="3.0756000000000001"/>
    <n v="7"/>
    <n v="132.79999999999998"/>
  </r>
  <r>
    <x v="63"/>
    <x v="6"/>
    <n v="27.9"/>
    <n v="0"/>
    <n v="0"/>
    <n v="1"/>
    <s v=""/>
  </r>
  <r>
    <x v="64"/>
    <x v="3"/>
    <n v="10.9"/>
    <n v="3.5"/>
    <n v="0.38150000000000001"/>
    <n v="2"/>
    <s v=""/>
  </r>
  <r>
    <x v="65"/>
    <x v="11"/>
    <n v="25.5"/>
    <n v="20"/>
    <n v="5.0999999999999996"/>
    <n v="3"/>
    <s v=""/>
  </r>
  <r>
    <x v="66"/>
    <x v="5"/>
    <n v="26"/>
    <n v="0"/>
    <n v="0"/>
    <n v="4"/>
    <s v=""/>
  </r>
  <r>
    <x v="67"/>
    <x v="21"/>
    <n v="25.8"/>
    <n v="0.1"/>
    <n v="2.58E-2"/>
    <n v="5"/>
    <s v=""/>
  </r>
  <r>
    <x v="68"/>
    <x v="10"/>
    <n v="17.5"/>
    <n v="0.5"/>
    <n v="8.7499999999999994E-2"/>
    <n v="6"/>
    <s v=""/>
  </r>
  <r>
    <x v="69"/>
    <x v="6"/>
    <n v="17.8"/>
    <n v="3.3"/>
    <n v="0.58740000000000003"/>
    <n v="7"/>
    <n v="151.4"/>
  </r>
  <r>
    <x v="70"/>
    <x v="6"/>
    <n v="17.5"/>
    <n v="0"/>
    <n v="0"/>
    <n v="1"/>
    <s v=""/>
  </r>
  <r>
    <x v="71"/>
    <x v="9"/>
    <n v="16.100000000000001"/>
    <n v="0"/>
    <n v="0"/>
    <n v="2"/>
    <s v=""/>
  </r>
  <r>
    <x v="72"/>
    <x v="1"/>
    <n v="11.8"/>
    <n v="7"/>
    <n v="0.82600000000000007"/>
    <n v="3"/>
    <s v=""/>
  </r>
  <r>
    <x v="73"/>
    <x v="11"/>
    <n v="26.2"/>
    <n v="0"/>
    <n v="0"/>
    <n v="4"/>
    <s v=""/>
  </r>
  <r>
    <x v="74"/>
    <x v="2"/>
    <n v="28.8"/>
    <n v="2.9"/>
    <n v="0.83519999999999994"/>
    <n v="5"/>
    <s v=""/>
  </r>
  <r>
    <x v="75"/>
    <x v="6"/>
    <n v="18.7"/>
    <n v="0"/>
    <n v="0"/>
    <n v="6"/>
    <s v=""/>
  </r>
  <r>
    <x v="76"/>
    <x v="14"/>
    <n v="10.3"/>
    <n v="9.1999999999999993"/>
    <n v="0.9476"/>
    <n v="7"/>
    <n v="129.4"/>
  </r>
  <r>
    <x v="77"/>
    <x v="2"/>
    <n v="29.8"/>
    <n v="3.4"/>
    <n v="1.0131999999999999"/>
    <n v="1"/>
    <s v=""/>
  </r>
  <r>
    <x v="78"/>
    <x v="6"/>
    <n v="26.2"/>
    <n v="32.299999999999997"/>
    <n v="8.4625999999999983"/>
    <n v="2"/>
    <s v=""/>
  </r>
  <r>
    <x v="79"/>
    <x v="15"/>
    <n v="13.8"/>
    <n v="15.9"/>
    <n v="2.1942000000000004"/>
    <n v="3"/>
    <s v=""/>
  </r>
  <r>
    <x v="80"/>
    <x v="15"/>
    <n v="22.4"/>
    <n v="24.5"/>
    <n v="5.4879999999999995"/>
    <n v="4"/>
    <s v=""/>
  </r>
  <r>
    <x v="81"/>
    <x v="15"/>
    <n v="24.5"/>
    <n v="0.9"/>
    <n v="0.2205"/>
    <n v="5"/>
    <s v=""/>
  </r>
  <r>
    <x v="82"/>
    <x v="24"/>
    <n v="23.1"/>
    <n v="0.3"/>
    <n v="6.93E-2"/>
    <n v="6"/>
    <s v=""/>
  </r>
  <r>
    <x v="83"/>
    <x v="21"/>
    <n v="29.8"/>
    <n v="0"/>
    <n v="0"/>
    <n v="7"/>
    <n v="169.6"/>
  </r>
  <r>
    <x v="84"/>
    <x v="0"/>
    <n v="11.2"/>
    <n v="0"/>
    <n v="0"/>
    <n v="1"/>
    <s v=""/>
  </r>
  <r>
    <x v="85"/>
    <x v="15"/>
    <n v="18.7"/>
    <n v="0"/>
    <n v="0"/>
    <n v="2"/>
    <s v=""/>
  </r>
  <r>
    <x v="86"/>
    <x v="14"/>
    <n v="11.4"/>
    <n v="8.1"/>
    <n v="0.9234"/>
    <n v="3"/>
    <s v=""/>
  </r>
  <r>
    <x v="87"/>
    <x v="9"/>
    <n v="21.3"/>
    <n v="13.4"/>
    <n v="2.8542000000000001"/>
    <n v="4"/>
    <s v=""/>
  </r>
  <r>
    <x v="88"/>
    <x v="1"/>
    <n v="24.5"/>
    <n v="2.6"/>
    <n v="0.63700000000000001"/>
    <n v="5"/>
    <s v=""/>
  </r>
  <r>
    <x v="89"/>
    <x v="15"/>
    <n v="20"/>
    <n v="13.2"/>
    <n v="2.64"/>
    <n v="6"/>
    <s v=""/>
  </r>
  <r>
    <x v="90"/>
    <x v="6"/>
    <n v="28.4"/>
    <n v="12"/>
    <n v="3.4079999999999995"/>
    <n v="7"/>
    <n v="135.5"/>
  </r>
  <r>
    <x v="91"/>
    <x v="7"/>
    <n v="14.8"/>
    <n v="10.1"/>
    <n v="1.4947999999999999"/>
    <n v="1"/>
    <s v=""/>
  </r>
  <r>
    <x v="92"/>
    <x v="25"/>
    <n v="27.9"/>
    <n v="0.6"/>
    <n v="0.16739999999999999"/>
    <n v="2"/>
    <s v=""/>
  </r>
  <r>
    <x v="93"/>
    <x v="8"/>
    <n v="19.899999999999999"/>
    <n v="9.8000000000000007"/>
    <n v="1.9502000000000002"/>
    <n v="3"/>
    <s v=""/>
  </r>
  <r>
    <x v="94"/>
    <x v="15"/>
    <n v="22.5"/>
    <n v="0"/>
    <n v="0"/>
    <n v="4"/>
    <s v=""/>
  </r>
  <r>
    <x v="95"/>
    <x v="4"/>
    <n v="21.6"/>
    <n v="4.9000000000000004"/>
    <n v="1.0584000000000002"/>
    <n v="5"/>
    <s v=""/>
  </r>
  <r>
    <x v="96"/>
    <x v="6"/>
    <n v="28.1"/>
    <n v="0"/>
    <n v="0"/>
    <n v="6"/>
    <s v=""/>
  </r>
  <r>
    <x v="97"/>
    <x v="8"/>
    <n v="21.5"/>
    <n v="8.6"/>
    <n v="1.849"/>
    <n v="7"/>
    <n v="156.29999999999998"/>
  </r>
  <r>
    <x v="98"/>
    <x v="10"/>
    <n v="22.7"/>
    <n v="0.1"/>
    <n v="2.2700000000000001E-2"/>
    <n v="1"/>
    <s v=""/>
  </r>
  <r>
    <x v="99"/>
    <x v="6"/>
    <n v="27.4"/>
    <n v="21.8"/>
    <n v="5.9731999999999994"/>
    <n v="2"/>
    <s v=""/>
  </r>
  <r>
    <x v="100"/>
    <x v="15"/>
    <n v="18.3"/>
    <n v="17.3"/>
    <n v="3.1659000000000002"/>
    <n v="3"/>
    <s v=""/>
  </r>
  <r>
    <x v="101"/>
    <x v="15"/>
    <n v="29"/>
    <n v="27.3"/>
    <n v="7.9170000000000007"/>
    <n v="4"/>
    <s v=""/>
  </r>
  <r>
    <x v="102"/>
    <x v="14"/>
    <n v="18.100000000000001"/>
    <n v="0"/>
    <n v="0"/>
    <n v="5"/>
    <s v=""/>
  </r>
  <r>
    <x v="103"/>
    <x v="16"/>
    <n v="16.399999999999999"/>
    <n v="1.1000000000000001"/>
    <n v="0.1804"/>
    <n v="6"/>
    <s v=""/>
  </r>
  <r>
    <x v="104"/>
    <x v="2"/>
    <n v="21.8"/>
    <n v="0"/>
    <n v="0"/>
    <n v="7"/>
    <n v="153.70000000000002"/>
  </r>
  <r>
    <x v="105"/>
    <x v="25"/>
    <n v="27.2"/>
    <n v="0"/>
    <n v="0"/>
    <n v="1"/>
    <s v=""/>
  </r>
  <r>
    <x v="106"/>
    <x v="18"/>
    <n v="21.2"/>
    <n v="0"/>
    <n v="0"/>
    <n v="2"/>
    <s v=""/>
  </r>
  <r>
    <x v="107"/>
    <x v="15"/>
    <n v="17.7"/>
    <n v="13.9"/>
    <n v="2.4603000000000002"/>
    <n v="3"/>
    <s v=""/>
  </r>
  <r>
    <x v="108"/>
    <x v="18"/>
    <n v="10.6"/>
    <n v="6.9"/>
    <n v="0.73140000000000005"/>
    <n v="4"/>
    <s v=""/>
  </r>
  <r>
    <x v="109"/>
    <x v="23"/>
    <n v="10.4"/>
    <n v="1.1000000000000001"/>
    <n v="0.11440000000000002"/>
    <n v="5"/>
    <s v=""/>
  </r>
  <r>
    <x v="110"/>
    <x v="6"/>
    <n v="15.8"/>
    <n v="7.1"/>
    <n v="1.1217999999999999"/>
    <n v="6"/>
    <s v=""/>
  </r>
  <r>
    <x v="111"/>
    <x v="5"/>
    <n v="19.899999999999999"/>
    <n v="10.8"/>
    <n v="2.1492"/>
    <n v="7"/>
    <n v="122.79999999999998"/>
  </r>
  <r>
    <x v="112"/>
    <x v="7"/>
    <n v="13"/>
    <n v="0"/>
    <n v="0"/>
    <n v="1"/>
    <s v=""/>
  </r>
  <r>
    <x v="113"/>
    <x v="3"/>
    <n v="28.1"/>
    <n v="15"/>
    <n v="4.2149999999999999"/>
    <n v="2"/>
    <s v=""/>
  </r>
  <r>
    <x v="114"/>
    <x v="8"/>
    <n v="22.5"/>
    <n v="8.6"/>
    <n v="1.9350000000000001"/>
    <n v="3"/>
    <s v=""/>
  </r>
  <r>
    <x v="115"/>
    <x v="15"/>
    <n v="14"/>
    <n v="36.1"/>
    <n v="5.0540000000000003"/>
    <n v="4"/>
    <s v=""/>
  </r>
  <r>
    <x v="116"/>
    <x v="6"/>
    <n v="10.6"/>
    <n v="18.399999999999999"/>
    <n v="1.9503999999999999"/>
    <n v="5"/>
    <s v=""/>
  </r>
  <r>
    <x v="117"/>
    <x v="19"/>
    <n v="22.3"/>
    <n v="0"/>
    <n v="0"/>
    <n v="6"/>
    <s v=""/>
  </r>
  <r>
    <x v="118"/>
    <x v="15"/>
    <n v="14.5"/>
    <n v="26"/>
    <n v="3.77"/>
    <n v="7"/>
    <n v="124.99999999999999"/>
  </r>
  <r>
    <x v="119"/>
    <x v="1"/>
    <n v="21"/>
    <n v="1.7"/>
    <n v="0.35699999999999998"/>
    <n v="1"/>
    <s v=""/>
  </r>
  <r>
    <x v="120"/>
    <x v="0"/>
    <n v="17.7"/>
    <n v="0.4"/>
    <n v="7.0800000000000002E-2"/>
    <n v="2"/>
    <s v=""/>
  </r>
  <r>
    <x v="121"/>
    <x v="3"/>
    <n v="24.3"/>
    <n v="9.6999999999999993"/>
    <n v="2.3571"/>
    <n v="3"/>
    <s v=""/>
  </r>
  <r>
    <x v="122"/>
    <x v="11"/>
    <n v="18.8"/>
    <n v="6.4"/>
    <n v="1.2032"/>
    <n v="4"/>
    <s v=""/>
  </r>
  <r>
    <x v="123"/>
    <x v="9"/>
    <n v="15.9"/>
    <n v="5.2"/>
    <n v="0.82680000000000009"/>
    <n v="5"/>
    <s v=""/>
  </r>
  <r>
    <x v="124"/>
    <x v="3"/>
    <n v="26.1"/>
    <n v="0"/>
    <n v="0"/>
    <n v="6"/>
    <s v=""/>
  </r>
  <r>
    <x v="125"/>
    <x v="15"/>
    <n v="29.4"/>
    <n v="8.8000000000000007"/>
    <n v="2.5872000000000002"/>
    <n v="7"/>
    <n v="153.20000000000002"/>
  </r>
  <r>
    <x v="126"/>
    <x v="9"/>
    <n v="10.5"/>
    <n v="14.5"/>
    <n v="1.5225"/>
    <n v="1"/>
    <s v=""/>
  </r>
  <r>
    <x v="127"/>
    <x v="26"/>
    <n v="18.100000000000001"/>
    <n v="0"/>
    <n v="0"/>
    <n v="2"/>
    <s v=""/>
  </r>
  <r>
    <x v="128"/>
    <x v="11"/>
    <n v="20.6"/>
    <n v="0"/>
    <n v="0"/>
    <n v="3"/>
    <s v=""/>
  </r>
  <r>
    <x v="129"/>
    <x v="11"/>
    <n v="17.100000000000001"/>
    <n v="0"/>
    <n v="0"/>
    <n v="4"/>
    <s v=""/>
  </r>
  <r>
    <x v="130"/>
    <x v="18"/>
    <n v="17"/>
    <n v="0.3"/>
    <n v="5.0999999999999997E-2"/>
    <n v="5"/>
    <s v=""/>
  </r>
  <r>
    <x v="131"/>
    <x v="19"/>
    <n v="14.7"/>
    <n v="2.2999999999999998"/>
    <n v="0.33809999999999996"/>
    <n v="6"/>
    <s v=""/>
  </r>
  <r>
    <x v="132"/>
    <x v="11"/>
    <n v="21.7"/>
    <n v="0"/>
    <n v="0"/>
    <n v="7"/>
    <n v="119.70000000000002"/>
  </r>
  <r>
    <x v="133"/>
    <x v="12"/>
    <n v="12.5"/>
    <n v="0"/>
    <n v="0"/>
    <n v="1"/>
    <s v=""/>
  </r>
  <r>
    <x v="134"/>
    <x v="4"/>
    <n v="17.8"/>
    <n v="4.0999999999999996"/>
    <n v="0.72979999999999989"/>
    <n v="2"/>
    <s v=""/>
  </r>
  <r>
    <x v="135"/>
    <x v="6"/>
    <n v="28.9"/>
    <n v="38.700000000000003"/>
    <n v="11.1843"/>
    <n v="3"/>
    <s v=""/>
  </r>
  <r>
    <x v="136"/>
    <x v="7"/>
    <n v="21"/>
    <n v="3.5"/>
    <n v="0.73499999999999999"/>
    <n v="4"/>
    <s v=""/>
  </r>
  <r>
    <x v="137"/>
    <x v="17"/>
    <n v="13"/>
    <n v="0.1"/>
    <n v="1.3000000000000001E-2"/>
    <n v="5"/>
    <s v=""/>
  </r>
  <r>
    <x v="138"/>
    <x v="6"/>
    <n v="23.1"/>
    <n v="0"/>
    <n v="0"/>
    <n v="6"/>
    <s v=""/>
  </r>
  <r>
    <x v="139"/>
    <x v="11"/>
    <n v="28.5"/>
    <n v="0"/>
    <n v="0"/>
    <n v="7"/>
    <n v="144.80000000000001"/>
  </r>
  <r>
    <x v="140"/>
    <x v="11"/>
    <n v="12.8"/>
    <n v="0"/>
    <n v="0"/>
    <n v="1"/>
    <s v=""/>
  </r>
  <r>
    <x v="141"/>
    <x v="27"/>
    <n v="26.8"/>
    <n v="0"/>
    <n v="0"/>
    <n v="2"/>
    <s v=""/>
  </r>
  <r>
    <x v="142"/>
    <x v="6"/>
    <n v="15.1"/>
    <n v="24.8"/>
    <n v="3.7448000000000001"/>
    <n v="3"/>
    <s v=""/>
  </r>
  <r>
    <x v="143"/>
    <x v="14"/>
    <n v="14.4"/>
    <n v="13.5"/>
    <n v="1.944"/>
    <n v="4"/>
    <s v=""/>
  </r>
  <r>
    <x v="144"/>
    <x v="7"/>
    <n v="29.2"/>
    <n v="15.7"/>
    <n v="4.5843999999999996"/>
    <n v="5"/>
    <s v=""/>
  </r>
  <r>
    <x v="145"/>
    <x v="6"/>
    <n v="28.9"/>
    <n v="47.2"/>
    <n v="13.640799999999999"/>
    <n v="6"/>
    <s v=""/>
  </r>
  <r>
    <x v="146"/>
    <x v="16"/>
    <n v="18.399999999999999"/>
    <n v="3.9"/>
    <n v="0.7175999999999999"/>
    <n v="7"/>
    <n v="145.60000000000002"/>
  </r>
  <r>
    <x v="147"/>
    <x v="13"/>
    <n v="26.2"/>
    <n v="4"/>
    <n v="1.048"/>
    <n v="1"/>
    <s v=""/>
  </r>
  <r>
    <x v="148"/>
    <x v="6"/>
    <n v="14.3"/>
    <n v="45.1"/>
    <n v="6.4493000000000009"/>
    <n v="2"/>
    <s v=""/>
  </r>
  <r>
    <x v="149"/>
    <x v="3"/>
    <n v="14.5"/>
    <n v="0"/>
    <n v="0"/>
    <n v="3"/>
    <s v=""/>
  </r>
  <r>
    <x v="150"/>
    <x v="6"/>
    <n v="18.600000000000001"/>
    <n v="5.5"/>
    <n v="1.0230000000000001"/>
    <n v="4"/>
    <s v=""/>
  </r>
  <r>
    <x v="151"/>
    <x v="3"/>
    <n v="26.3"/>
    <n v="14.5"/>
    <n v="3.8135000000000003"/>
    <n v="5"/>
    <s v=""/>
  </r>
  <r>
    <x v="152"/>
    <x v="28"/>
    <n v="25.9"/>
    <n v="0.7"/>
    <n v="0.18129999999999999"/>
    <n v="6"/>
    <s v=""/>
  </r>
  <r>
    <x v="153"/>
    <x v="8"/>
    <n v="29.8"/>
    <n v="0"/>
    <n v="0"/>
    <n v="7"/>
    <n v="155.6"/>
  </r>
  <r>
    <x v="154"/>
    <x v="6"/>
    <n v="18.3"/>
    <n v="18.7"/>
    <n v="3.4220999999999999"/>
    <n v="1"/>
    <s v=""/>
  </r>
  <r>
    <x v="155"/>
    <x v="8"/>
    <n v="24.5"/>
    <n v="6.7"/>
    <n v="1.6415"/>
    <n v="2"/>
    <s v=""/>
  </r>
  <r>
    <x v="156"/>
    <x v="15"/>
    <n v="18.7"/>
    <n v="0"/>
    <n v="0"/>
    <n v="3"/>
    <s v=""/>
  </r>
  <r>
    <x v="157"/>
    <x v="15"/>
    <n v="29.2"/>
    <n v="34.9"/>
    <n v="10.190799999999999"/>
    <n v="4"/>
    <s v=""/>
  </r>
  <r>
    <x v="158"/>
    <x v="5"/>
    <n v="21.4"/>
    <n v="10.7"/>
    <n v="2.2897999999999996"/>
    <n v="5"/>
    <s v=""/>
  </r>
  <r>
    <x v="159"/>
    <x v="11"/>
    <n v="25.6"/>
    <n v="3.1"/>
    <n v="0.79360000000000008"/>
    <n v="6"/>
    <s v=""/>
  </r>
  <r>
    <x v="160"/>
    <x v="11"/>
    <n v="15.7"/>
    <n v="5.0999999999999996"/>
    <n v="0.80069999999999997"/>
    <n v="7"/>
    <n v="153.39999999999998"/>
  </r>
  <r>
    <x v="161"/>
    <x v="2"/>
    <n v="27.3"/>
    <n v="11"/>
    <n v="3.0030000000000001"/>
    <n v="1"/>
    <s v=""/>
  </r>
  <r>
    <x v="162"/>
    <x v="21"/>
    <n v="28.4"/>
    <n v="2.7"/>
    <n v="0.76680000000000004"/>
    <n v="2"/>
    <s v=""/>
  </r>
  <r>
    <x v="163"/>
    <x v="7"/>
    <n v="22"/>
    <n v="3.3"/>
    <n v="0.72599999999999998"/>
    <n v="3"/>
    <s v=""/>
  </r>
  <r>
    <x v="164"/>
    <x v="4"/>
    <n v="19.399999999999999"/>
    <n v="0"/>
    <n v="0"/>
    <n v="4"/>
    <s v=""/>
  </r>
  <r>
    <x v="165"/>
    <x v="11"/>
    <n v="22.7"/>
    <n v="14.8"/>
    <n v="3.3595999999999999"/>
    <n v="5"/>
    <s v=""/>
  </r>
  <r>
    <x v="166"/>
    <x v="3"/>
    <n v="22.6"/>
    <n v="16.5"/>
    <n v="3.7290000000000005"/>
    <n v="6"/>
    <s v=""/>
  </r>
  <r>
    <x v="167"/>
    <x v="13"/>
    <n v="26.1"/>
    <n v="0"/>
    <n v="0"/>
    <n v="7"/>
    <n v="168.5"/>
  </r>
  <r>
    <x v="168"/>
    <x v="11"/>
    <n v="27.6"/>
    <n v="6.7"/>
    <n v="1.8492000000000002"/>
    <n v="1"/>
    <s v=""/>
  </r>
  <r>
    <x v="169"/>
    <x v="8"/>
    <n v="13.2"/>
    <n v="0"/>
    <n v="0"/>
    <n v="2"/>
    <s v=""/>
  </r>
  <r>
    <x v="170"/>
    <x v="17"/>
    <n v="22"/>
    <n v="0"/>
    <n v="0"/>
    <n v="3"/>
    <s v=""/>
  </r>
  <r>
    <x v="171"/>
    <x v="5"/>
    <n v="10.8"/>
    <n v="7.6"/>
    <n v="0.82079999999999997"/>
    <n v="4"/>
    <s v=""/>
  </r>
  <r>
    <x v="172"/>
    <x v="6"/>
    <n v="15.6"/>
    <n v="38.4"/>
    <n v="5.9903999999999993"/>
    <n v="5"/>
    <s v=""/>
  </r>
  <r>
    <x v="173"/>
    <x v="22"/>
    <n v="11.7"/>
    <n v="0.5"/>
    <n v="5.8499999999999996E-2"/>
    <n v="6"/>
    <s v=""/>
  </r>
  <r>
    <x v="174"/>
    <x v="6"/>
    <n v="27.2"/>
    <n v="8.3000000000000007"/>
    <n v="2.2576000000000001"/>
    <n v="7"/>
    <n v="128.1"/>
  </r>
  <r>
    <x v="175"/>
    <x v="6"/>
    <n v="24.7"/>
    <n v="28.9"/>
    <n v="7.1382999999999992"/>
    <n v="1"/>
    <s v=""/>
  </r>
  <r>
    <x v="176"/>
    <x v="7"/>
    <n v="18.2"/>
    <n v="12.5"/>
    <n v="2.2749999999999999"/>
    <n v="2"/>
    <s v=""/>
  </r>
  <r>
    <x v="177"/>
    <x v="7"/>
    <n v="14.6"/>
    <n v="17.899999999999999"/>
    <n v="2.6133999999999999"/>
    <n v="3"/>
    <s v=""/>
  </r>
  <r>
    <x v="178"/>
    <x v="7"/>
    <n v="16.5"/>
    <n v="13.9"/>
    <n v="2.2934999999999999"/>
    <n v="4"/>
    <s v=""/>
  </r>
  <r>
    <x v="179"/>
    <x v="14"/>
    <n v="29.4"/>
    <n v="0"/>
    <n v="0"/>
    <n v="5"/>
    <s v=""/>
  </r>
  <r>
    <x v="180"/>
    <x v="6"/>
    <n v="17.899999999999999"/>
    <n v="0"/>
    <n v="0"/>
    <n v="6"/>
    <s v=""/>
  </r>
  <r>
    <x v="181"/>
    <x v="13"/>
    <n v="29.8"/>
    <n v="0"/>
    <n v="0"/>
    <n v="7"/>
    <n v="151.10000000000002"/>
  </r>
  <r>
    <x v="182"/>
    <x v="0"/>
    <n v="18.7"/>
    <n v="0"/>
    <n v="0"/>
    <n v="1"/>
    <s v=""/>
  </r>
  <r>
    <x v="183"/>
    <x v="8"/>
    <n v="24.3"/>
    <n v="7.8"/>
    <n v="1.8954"/>
    <n v="2"/>
    <s v=""/>
  </r>
  <r>
    <x v="184"/>
    <x v="9"/>
    <n v="29.3"/>
    <n v="4.5999999999999996"/>
    <n v="1.3478000000000001"/>
    <n v="3"/>
    <s v=""/>
  </r>
  <r>
    <x v="185"/>
    <x v="3"/>
    <n v="18.399999999999999"/>
    <n v="0"/>
    <n v="0"/>
    <n v="4"/>
    <s v=""/>
  </r>
  <r>
    <x v="186"/>
    <x v="3"/>
    <n v="10.3"/>
    <n v="16"/>
    <n v="1.6480000000000001"/>
    <n v="5"/>
    <s v=""/>
  </r>
  <r>
    <x v="187"/>
    <x v="6"/>
    <n v="27.5"/>
    <n v="0"/>
    <n v="0"/>
    <n v="6"/>
    <s v=""/>
  </r>
  <r>
    <x v="188"/>
    <x v="3"/>
    <n v="20.6"/>
    <n v="15.7"/>
    <n v="3.2342"/>
    <n v="7"/>
    <n v="149.1"/>
  </r>
  <r>
    <x v="189"/>
    <x v="7"/>
    <n v="21.3"/>
    <n v="0"/>
    <n v="0"/>
    <n v="1"/>
    <s v=""/>
  </r>
  <r>
    <x v="190"/>
    <x v="15"/>
    <n v="26.2"/>
    <n v="0"/>
    <n v="0"/>
    <n v="2"/>
    <s v=""/>
  </r>
  <r>
    <x v="191"/>
    <x v="6"/>
    <n v="23.9"/>
    <n v="0"/>
    <n v="0"/>
    <n v="3"/>
    <s v=""/>
  </r>
  <r>
    <x v="192"/>
    <x v="23"/>
    <n v="26.6"/>
    <n v="1.6"/>
    <n v="0.42560000000000003"/>
    <n v="4"/>
    <s v=""/>
  </r>
  <r>
    <x v="193"/>
    <x v="6"/>
    <n v="18.600000000000001"/>
    <n v="20.399999999999999"/>
    <n v="3.7944"/>
    <n v="5"/>
    <s v=""/>
  </r>
  <r>
    <x v="194"/>
    <x v="14"/>
    <n v="22.3"/>
    <n v="1.7"/>
    <n v="0.37910000000000005"/>
    <n v="6"/>
    <s v=""/>
  </r>
  <r>
    <x v="195"/>
    <x v="13"/>
    <n v="18.399999999999999"/>
    <n v="3.9"/>
    <n v="0.7175999999999999"/>
    <n v="7"/>
    <n v="157.30000000000001"/>
  </r>
  <r>
    <x v="196"/>
    <x v="23"/>
    <n v="28"/>
    <n v="4.4000000000000004"/>
    <n v="1.2320000000000002"/>
    <n v="1"/>
    <s v=""/>
  </r>
  <r>
    <x v="197"/>
    <x v="6"/>
    <n v="10.9"/>
    <n v="32.9"/>
    <n v="3.5861000000000001"/>
    <n v="2"/>
    <s v=""/>
  </r>
  <r>
    <x v="198"/>
    <x v="15"/>
    <n v="25.1"/>
    <n v="33.299999999999997"/>
    <n v="8.3582999999999998"/>
    <n v="3"/>
    <s v=""/>
  </r>
  <r>
    <x v="199"/>
    <x v="24"/>
    <n v="10.7"/>
    <n v="0.3"/>
    <n v="3.2099999999999997E-2"/>
    <n v="4"/>
    <s v=""/>
  </r>
  <r>
    <x v="200"/>
    <x v="6"/>
    <n v="26.1"/>
    <n v="31"/>
    <n v="8.0910000000000011"/>
    <n v="5"/>
    <s v=""/>
  </r>
  <r>
    <x v="201"/>
    <x v="7"/>
    <n v="15.2"/>
    <n v="12.7"/>
    <n v="1.9303999999999999"/>
    <n v="6"/>
    <s v=""/>
  </r>
  <r>
    <x v="202"/>
    <x v="10"/>
    <n v="28.8"/>
    <n v="4.3"/>
    <n v="1.2383999999999999"/>
    <n v="7"/>
    <n v="144.80000000000001"/>
  </r>
  <r>
    <x v="203"/>
    <x v="22"/>
    <n v="10.3"/>
    <n v="0"/>
    <n v="0"/>
    <n v="1"/>
    <s v=""/>
  </r>
  <r>
    <x v="204"/>
    <x v="2"/>
    <n v="14.9"/>
    <n v="0.1"/>
    <n v="1.4900000000000002E-2"/>
    <n v="2"/>
    <s v=""/>
  </r>
  <r>
    <x v="205"/>
    <x v="6"/>
    <n v="11.3"/>
    <n v="0"/>
    <n v="0"/>
    <n v="3"/>
    <s v=""/>
  </r>
  <r>
    <x v="206"/>
    <x v="6"/>
    <n v="20.8"/>
    <n v="34.9"/>
    <n v="7.2591999999999999"/>
    <n v="4"/>
    <s v=""/>
  </r>
  <r>
    <x v="207"/>
    <x v="15"/>
    <n v="18.2"/>
    <n v="0"/>
    <n v="0"/>
    <n v="5"/>
    <s v=""/>
  </r>
  <r>
    <x v="208"/>
    <x v="13"/>
    <n v="12.7"/>
    <n v="5.3"/>
    <n v="0.67309999999999992"/>
    <n v="6"/>
    <s v=""/>
  </r>
  <r>
    <x v="209"/>
    <x v="10"/>
    <n v="21.4"/>
    <n v="8.3000000000000007"/>
    <n v="1.7762"/>
    <n v="7"/>
    <n v="109.6"/>
  </r>
  <r>
    <x v="210"/>
    <x v="2"/>
    <n v="21.3"/>
    <n v="11.8"/>
    <n v="2.5134000000000003"/>
    <n v="1"/>
    <s v=""/>
  </r>
  <r>
    <x v="211"/>
    <x v="13"/>
    <n v="20.7"/>
    <n v="3.9"/>
    <n v="0.80729999999999991"/>
    <n v="2"/>
    <s v=""/>
  </r>
  <r>
    <x v="212"/>
    <x v="16"/>
    <n v="19.7"/>
    <n v="0"/>
    <n v="0"/>
    <n v="3"/>
    <s v=""/>
  </r>
  <r>
    <x v="213"/>
    <x v="7"/>
    <n v="27.2"/>
    <n v="17.600000000000001"/>
    <n v="4.7872000000000003"/>
    <n v="4"/>
    <s v=""/>
  </r>
  <r>
    <x v="214"/>
    <x v="21"/>
    <n v="16.600000000000001"/>
    <n v="1.7"/>
    <n v="0.28220000000000001"/>
    <n v="5"/>
    <s v=""/>
  </r>
  <r>
    <x v="215"/>
    <x v="7"/>
    <n v="22.3"/>
    <n v="0"/>
    <n v="0"/>
    <n v="6"/>
    <s v=""/>
  </r>
  <r>
    <x v="216"/>
    <x v="6"/>
    <n v="18"/>
    <n v="40.799999999999997"/>
    <n v="7.3439999999999994"/>
    <n v="7"/>
    <n v="145.80000000000001"/>
  </r>
  <r>
    <x v="217"/>
    <x v="20"/>
    <n v="21.8"/>
    <n v="0"/>
    <n v="0"/>
    <n v="1"/>
    <s v=""/>
  </r>
  <r>
    <x v="218"/>
    <x v="2"/>
    <n v="22.2"/>
    <n v="11.2"/>
    <n v="2.4863999999999997"/>
    <n v="2"/>
    <s v=""/>
  </r>
  <r>
    <x v="219"/>
    <x v="2"/>
    <n v="20"/>
    <n v="0"/>
    <n v="0"/>
    <n v="3"/>
    <s v=""/>
  </r>
  <r>
    <x v="220"/>
    <x v="28"/>
    <n v="29.4"/>
    <n v="0.7"/>
    <n v="0.20579999999999998"/>
    <n v="4"/>
    <s v=""/>
  </r>
  <r>
    <x v="221"/>
    <x v="6"/>
    <n v="23.6"/>
    <n v="0"/>
    <n v="0"/>
    <n v="5"/>
    <s v=""/>
  </r>
  <r>
    <x v="222"/>
    <x v="3"/>
    <n v="16.3"/>
    <n v="22"/>
    <n v="3.5860000000000003"/>
    <n v="6"/>
    <s v=""/>
  </r>
  <r>
    <x v="223"/>
    <x v="11"/>
    <n v="15"/>
    <n v="0"/>
    <n v="0"/>
    <n v="7"/>
    <n v="148.30000000000001"/>
  </r>
  <r>
    <x v="224"/>
    <x v="10"/>
    <n v="10.8"/>
    <n v="0"/>
    <n v="0"/>
    <n v="1"/>
    <s v=""/>
  </r>
  <r>
    <x v="225"/>
    <x v="15"/>
    <n v="10.5"/>
    <n v="0"/>
    <n v="0"/>
    <n v="2"/>
    <s v=""/>
  </r>
  <r>
    <x v="226"/>
    <x v="1"/>
    <n v="20.3"/>
    <n v="0"/>
    <n v="0"/>
    <n v="3"/>
    <s v=""/>
  </r>
  <r>
    <x v="227"/>
    <x v="6"/>
    <n v="13.1"/>
    <n v="50.4"/>
    <n v="6.6024000000000003"/>
    <n v="4"/>
    <s v=""/>
  </r>
  <r>
    <x v="228"/>
    <x v="8"/>
    <n v="24.8"/>
    <n v="7.9"/>
    <n v="1.9592000000000001"/>
    <n v="5"/>
    <s v=""/>
  </r>
  <r>
    <x v="229"/>
    <x v="7"/>
    <n v="23.6"/>
    <n v="0.8"/>
    <n v="0.18880000000000002"/>
    <n v="6"/>
    <s v=""/>
  </r>
  <r>
    <x v="230"/>
    <x v="13"/>
    <n v="17.899999999999999"/>
    <n v="0"/>
    <n v="0"/>
    <n v="7"/>
    <n v="121"/>
  </r>
  <r>
    <x v="231"/>
    <x v="8"/>
    <n v="23.2"/>
    <n v="3"/>
    <n v="0.69599999999999995"/>
    <n v="1"/>
    <s v=""/>
  </r>
  <r>
    <x v="232"/>
    <x v="4"/>
    <n v="21.8"/>
    <n v="2"/>
    <n v="0.436"/>
    <n v="2"/>
    <s v=""/>
  </r>
  <r>
    <x v="233"/>
    <x v="22"/>
    <n v="22.2"/>
    <n v="3.1"/>
    <n v="0.68819999999999992"/>
    <n v="3"/>
    <s v=""/>
  </r>
  <r>
    <x v="234"/>
    <x v="11"/>
    <n v="29"/>
    <n v="16.399999999999999"/>
    <n v="4.7559999999999993"/>
    <n v="4"/>
    <s v=""/>
  </r>
  <r>
    <x v="235"/>
    <x v="20"/>
    <n v="24.6"/>
    <n v="1.7"/>
    <n v="0.41820000000000002"/>
    <n v="5"/>
    <s v=""/>
  </r>
  <r>
    <x v="236"/>
    <x v="8"/>
    <n v="23.4"/>
    <n v="0.6"/>
    <n v="0.1404"/>
    <n v="6"/>
    <s v=""/>
  </r>
  <r>
    <x v="237"/>
    <x v="11"/>
    <n v="21"/>
    <n v="0"/>
    <n v="0"/>
    <n v="7"/>
    <n v="165.20000000000002"/>
  </r>
  <r>
    <x v="238"/>
    <x v="1"/>
    <n v="22"/>
    <n v="0"/>
    <n v="0"/>
    <n v="1"/>
    <s v=""/>
  </r>
  <r>
    <x v="239"/>
    <x v="5"/>
    <n v="29.9"/>
    <n v="8"/>
    <n v="2.3919999999999999"/>
    <n v="2"/>
    <s v=""/>
  </r>
  <r>
    <x v="240"/>
    <x v="3"/>
    <n v="27.2"/>
    <n v="19.2"/>
    <n v="5.2224000000000004"/>
    <n v="3"/>
    <s v=""/>
  </r>
  <r>
    <x v="241"/>
    <x v="15"/>
    <n v="10.9"/>
    <n v="9"/>
    <n v="0.98100000000000009"/>
    <n v="4"/>
    <s v=""/>
  </r>
  <r>
    <x v="242"/>
    <x v="5"/>
    <n v="22.6"/>
    <n v="5.9"/>
    <n v="1.3334000000000001"/>
    <n v="5"/>
    <s v=""/>
  </r>
  <r>
    <x v="243"/>
    <x v="19"/>
    <n v="12"/>
    <n v="3.9"/>
    <n v="0.46799999999999997"/>
    <n v="6"/>
    <s v=""/>
  </r>
  <r>
    <x v="244"/>
    <x v="11"/>
    <n v="19.5"/>
    <n v="14.2"/>
    <n v="2.7689999999999997"/>
    <n v="7"/>
    <n v="144.1"/>
  </r>
  <r>
    <x v="245"/>
    <x v="6"/>
    <n v="27"/>
    <n v="10.9"/>
    <n v="2.9430000000000001"/>
    <n v="1"/>
    <s v=""/>
  </r>
  <r>
    <x v="246"/>
    <x v="18"/>
    <n v="10.7"/>
    <n v="5.6"/>
    <n v="0.59919999999999995"/>
    <n v="2"/>
    <s v=""/>
  </r>
  <r>
    <x v="247"/>
    <x v="15"/>
    <n v="29.1"/>
    <n v="0"/>
    <n v="0"/>
    <n v="3"/>
    <s v=""/>
  </r>
  <r>
    <x v="248"/>
    <x v="23"/>
    <n v="25.3"/>
    <n v="0"/>
    <n v="0"/>
    <n v="4"/>
    <s v=""/>
  </r>
  <r>
    <x v="249"/>
    <x v="2"/>
    <n v="13.3"/>
    <n v="4.4000000000000004"/>
    <n v="0.58520000000000005"/>
    <n v="5"/>
    <s v=""/>
  </r>
  <r>
    <x v="250"/>
    <x v="3"/>
    <n v="16.899999999999999"/>
    <n v="0"/>
    <n v="0"/>
    <n v="6"/>
    <s v=""/>
  </r>
  <r>
    <x v="251"/>
    <x v="11"/>
    <n v="26.4"/>
    <n v="6.8"/>
    <n v="1.7951999999999999"/>
    <n v="7"/>
    <n v="148.70000000000002"/>
  </r>
  <r>
    <x v="252"/>
    <x v="10"/>
    <n v="29.7"/>
    <n v="0"/>
    <n v="0"/>
    <n v="1"/>
    <s v=""/>
  </r>
  <r>
    <x v="253"/>
    <x v="3"/>
    <n v="17.600000000000001"/>
    <n v="8.6999999999999993"/>
    <n v="1.5312000000000001"/>
    <n v="2"/>
    <s v=""/>
  </r>
  <r>
    <x v="254"/>
    <x v="13"/>
    <n v="13.2"/>
    <n v="3.3"/>
    <n v="0.43559999999999993"/>
    <n v="3"/>
    <s v=""/>
  </r>
  <r>
    <x v="255"/>
    <x v="11"/>
    <n v="21.2"/>
    <n v="0"/>
    <n v="0"/>
    <n v="4"/>
    <s v=""/>
  </r>
  <r>
    <x v="256"/>
    <x v="11"/>
    <n v="23"/>
    <n v="7.7"/>
    <n v="1.7709999999999999"/>
    <n v="5"/>
    <s v=""/>
  </r>
  <r>
    <x v="257"/>
    <x v="7"/>
    <n v="23"/>
    <n v="0"/>
    <n v="0"/>
    <n v="6"/>
    <s v=""/>
  </r>
  <r>
    <x v="258"/>
    <x v="7"/>
    <n v="23.4"/>
    <n v="0"/>
    <n v="0"/>
    <n v="7"/>
    <n v="151.1"/>
  </r>
  <r>
    <x v="259"/>
    <x v="3"/>
    <n v="28.7"/>
    <n v="3.3"/>
    <n v="0.94709999999999994"/>
    <n v="1"/>
    <s v=""/>
  </r>
  <r>
    <x v="260"/>
    <x v="22"/>
    <n v="23.6"/>
    <n v="4.3"/>
    <n v="1.0148000000000001"/>
    <n v="2"/>
    <s v=""/>
  </r>
  <r>
    <x v="261"/>
    <x v="2"/>
    <n v="10.199999999999999"/>
    <n v="8.6999999999999993"/>
    <n v="0.88739999999999986"/>
    <n v="3"/>
    <s v=""/>
  </r>
  <r>
    <x v="262"/>
    <x v="5"/>
    <n v="13.8"/>
    <n v="0"/>
    <n v="0"/>
    <n v="4"/>
    <s v=""/>
  </r>
  <r>
    <x v="263"/>
    <x v="4"/>
    <n v="27.7"/>
    <n v="0"/>
    <n v="0"/>
    <n v="5"/>
    <s v=""/>
  </r>
  <r>
    <x v="264"/>
    <x v="3"/>
    <n v="13.3"/>
    <n v="7.2"/>
    <n v="0.95760000000000001"/>
    <n v="6"/>
    <s v=""/>
  </r>
  <r>
    <x v="265"/>
    <x v="7"/>
    <n v="26"/>
    <n v="0.7"/>
    <n v="0.182"/>
    <n v="7"/>
    <n v="143.30000000000001"/>
  </r>
  <r>
    <x v="266"/>
    <x v="2"/>
    <n v="16.3"/>
    <n v="11"/>
    <n v="1.7930000000000001"/>
    <n v="1"/>
    <s v=""/>
  </r>
  <r>
    <x v="267"/>
    <x v="11"/>
    <n v="23.5"/>
    <n v="15.5"/>
    <n v="3.6425000000000001"/>
    <n v="2"/>
    <s v=""/>
  </r>
  <r>
    <x v="268"/>
    <x v="23"/>
    <n v="15.7"/>
    <n v="0"/>
    <n v="0"/>
    <n v="3"/>
    <s v=""/>
  </r>
  <r>
    <x v="269"/>
    <x v="22"/>
    <n v="26"/>
    <n v="6.4"/>
    <n v="1.6640000000000001"/>
    <n v="4"/>
    <s v=""/>
  </r>
  <r>
    <x v="270"/>
    <x v="15"/>
    <n v="22.7"/>
    <n v="0"/>
    <n v="0"/>
    <n v="5"/>
    <s v=""/>
  </r>
  <r>
    <x v="271"/>
    <x v="5"/>
    <n v="26.2"/>
    <n v="5.7"/>
    <n v="1.4934000000000001"/>
    <n v="6"/>
    <s v=""/>
  </r>
  <r>
    <x v="272"/>
    <x v="18"/>
    <n v="14.1"/>
    <n v="0"/>
    <n v="0"/>
    <n v="7"/>
    <n v="144.5"/>
  </r>
  <r>
    <x v="273"/>
    <x v="7"/>
    <n v="23.6"/>
    <n v="19.7"/>
    <n v="4.6492000000000004"/>
    <n v="1"/>
    <s v=""/>
  </r>
  <r>
    <x v="274"/>
    <x v="15"/>
    <n v="25.2"/>
    <n v="37.200000000000003"/>
    <n v="9.3744000000000014"/>
    <n v="2"/>
    <s v=""/>
  </r>
  <r>
    <x v="275"/>
    <x v="9"/>
    <n v="23"/>
    <n v="0"/>
    <n v="0"/>
    <n v="3"/>
    <s v=""/>
  </r>
  <r>
    <x v="276"/>
    <x v="2"/>
    <n v="29.7"/>
    <n v="6.8"/>
    <n v="2.0195999999999996"/>
    <n v="4"/>
    <s v=""/>
  </r>
  <r>
    <x v="277"/>
    <x v="5"/>
    <n v="17.2"/>
    <n v="3.5"/>
    <n v="0.60199999999999998"/>
    <n v="5"/>
    <s v=""/>
  </r>
  <r>
    <x v="278"/>
    <x v="5"/>
    <n v="21.7"/>
    <n v="2.5"/>
    <n v="0.54249999999999998"/>
    <n v="6"/>
    <s v=""/>
  </r>
  <r>
    <x v="279"/>
    <x v="7"/>
    <n v="25.8"/>
    <n v="3.8"/>
    <n v="0.98039999999999994"/>
    <n v="7"/>
    <n v="166.20000000000002"/>
  </r>
  <r>
    <x v="280"/>
    <x v="22"/>
    <n v="12.9"/>
    <n v="1.6"/>
    <n v="0.2064"/>
    <n v="1"/>
    <s v=""/>
  </r>
  <r>
    <x v="281"/>
    <x v="12"/>
    <n v="18.2"/>
    <n v="0"/>
    <n v="0"/>
    <n v="2"/>
    <s v=""/>
  </r>
  <r>
    <x v="282"/>
    <x v="6"/>
    <n v="20"/>
    <n v="25.7"/>
    <n v="5.14"/>
    <n v="3"/>
    <s v=""/>
  </r>
  <r>
    <x v="283"/>
    <x v="15"/>
    <n v="17.100000000000001"/>
    <n v="33"/>
    <n v="5.6430000000000007"/>
    <n v="4"/>
    <s v=""/>
  </r>
  <r>
    <x v="284"/>
    <x v="1"/>
    <n v="23.2"/>
    <n v="2.2999999999999998"/>
    <n v="0.53359999999999996"/>
    <n v="5"/>
    <s v=""/>
  </r>
  <r>
    <x v="285"/>
    <x v="11"/>
    <n v="23.1"/>
    <n v="2.2000000000000002"/>
    <n v="0.5082000000000001"/>
    <n v="6"/>
    <s v=""/>
  </r>
  <r>
    <x v="286"/>
    <x v="6"/>
    <n v="22.4"/>
    <n v="33.5"/>
    <n v="7.5039999999999996"/>
    <n v="7"/>
    <n v="136.9"/>
  </r>
  <r>
    <x v="287"/>
    <x v="29"/>
    <n v="25.4"/>
    <n v="0.9"/>
    <n v="0.2286"/>
    <n v="1"/>
    <s v=""/>
  </r>
  <r>
    <x v="288"/>
    <x v="6"/>
    <n v="15.4"/>
    <n v="1.6"/>
    <n v="0.24640000000000001"/>
    <n v="2"/>
    <s v=""/>
  </r>
  <r>
    <x v="289"/>
    <x v="21"/>
    <n v="23.5"/>
    <n v="0.6"/>
    <n v="0.14099999999999999"/>
    <n v="3"/>
    <s v=""/>
  </r>
  <r>
    <x v="290"/>
    <x v="11"/>
    <n v="10.3"/>
    <n v="15.4"/>
    <n v="1.5862000000000001"/>
    <n v="4"/>
    <s v=""/>
  </r>
  <r>
    <x v="291"/>
    <x v="6"/>
    <n v="15.5"/>
    <n v="20.2"/>
    <n v="3.1309999999999998"/>
    <n v="5"/>
    <s v=""/>
  </r>
  <r>
    <x v="292"/>
    <x v="20"/>
    <n v="20.7"/>
    <n v="3"/>
    <n v="0.621"/>
    <n v="6"/>
    <s v=""/>
  </r>
  <r>
    <x v="293"/>
    <x v="9"/>
    <n v="12.7"/>
    <n v="14.4"/>
    <n v="1.8288"/>
    <n v="7"/>
    <n v="123.5"/>
  </r>
  <r>
    <x v="294"/>
    <x v="19"/>
    <n v="22.8"/>
    <n v="3.3"/>
    <n v="0.75239999999999996"/>
    <n v="1"/>
    <s v=""/>
  </r>
  <r>
    <x v="295"/>
    <x v="26"/>
    <n v="20.5"/>
    <n v="0"/>
    <n v="0"/>
    <n v="2"/>
    <s v=""/>
  </r>
  <r>
    <x v="296"/>
    <x v="18"/>
    <n v="13.1"/>
    <n v="5.9"/>
    <n v="0.77290000000000003"/>
    <n v="3"/>
    <s v=""/>
  </r>
  <r>
    <x v="297"/>
    <x v="17"/>
    <n v="29"/>
    <n v="1"/>
    <n v="0.28999999999999998"/>
    <n v="4"/>
    <s v=""/>
  </r>
  <r>
    <x v="298"/>
    <x v="15"/>
    <n v="15.4"/>
    <n v="0"/>
    <n v="0"/>
    <n v="5"/>
    <s v=""/>
  </r>
  <r>
    <x v="299"/>
    <x v="6"/>
    <n v="20.3"/>
    <n v="10.7"/>
    <n v="2.1720999999999999"/>
    <n v="6"/>
    <s v=""/>
  </r>
  <r>
    <x v="300"/>
    <x v="6"/>
    <n v="15"/>
    <n v="0"/>
    <n v="0"/>
    <n v="7"/>
    <n v="136.10000000000002"/>
  </r>
  <r>
    <x v="301"/>
    <x v="14"/>
    <n v="16.600000000000001"/>
    <n v="0"/>
    <n v="0"/>
    <n v="1"/>
    <s v=""/>
  </r>
  <r>
    <x v="302"/>
    <x v="7"/>
    <n v="28.6"/>
    <n v="0"/>
    <n v="0"/>
    <n v="2"/>
    <s v=""/>
  </r>
  <r>
    <x v="303"/>
    <x v="13"/>
    <n v="11.4"/>
    <n v="3.6"/>
    <n v="0.41039999999999999"/>
    <n v="3"/>
    <s v=""/>
  </r>
  <r>
    <x v="304"/>
    <x v="5"/>
    <n v="15.5"/>
    <n v="1"/>
    <n v="0.155"/>
    <n v="4"/>
    <s v=""/>
  </r>
  <r>
    <x v="305"/>
    <x v="2"/>
    <n v="18.3"/>
    <n v="0.7"/>
    <n v="0.12809999999999999"/>
    <n v="5"/>
    <s v=""/>
  </r>
  <r>
    <x v="306"/>
    <x v="15"/>
    <n v="14.9"/>
    <n v="6.1"/>
    <n v="0.90890000000000004"/>
    <n v="6"/>
    <s v=""/>
  </r>
  <r>
    <x v="307"/>
    <x v="7"/>
    <n v="29.7"/>
    <n v="13.3"/>
    <n v="3.9500999999999999"/>
    <n v="7"/>
    <n v="135"/>
  </r>
  <r>
    <x v="308"/>
    <x v="3"/>
    <n v="28.9"/>
    <n v="13.8"/>
    <n v="3.9882"/>
    <n v="1"/>
    <s v=""/>
  </r>
  <r>
    <x v="309"/>
    <x v="13"/>
    <n v="24.3"/>
    <n v="0"/>
    <n v="0"/>
    <n v="2"/>
    <s v=""/>
  </r>
  <r>
    <x v="310"/>
    <x v="6"/>
    <n v="24"/>
    <n v="19.7"/>
    <n v="4.7279999999999998"/>
    <n v="3"/>
    <s v=""/>
  </r>
  <r>
    <x v="311"/>
    <x v="11"/>
    <n v="11.8"/>
    <n v="13.3"/>
    <n v="1.5694000000000004"/>
    <n v="4"/>
    <s v=""/>
  </r>
  <r>
    <x v="312"/>
    <x v="6"/>
    <n v="26.5"/>
    <n v="19.7"/>
    <n v="5.2204999999999995"/>
    <n v="5"/>
    <s v=""/>
  </r>
  <r>
    <x v="313"/>
    <x v="22"/>
    <n v="12.4"/>
    <n v="5.0999999999999996"/>
    <n v="0.63239999999999996"/>
    <n v="6"/>
    <s v=""/>
  </r>
  <r>
    <x v="314"/>
    <x v="6"/>
    <n v="21.9"/>
    <n v="6.6"/>
    <n v="1.4454"/>
    <n v="7"/>
    <n v="149.80000000000001"/>
  </r>
  <r>
    <x v="315"/>
    <x v="6"/>
    <n v="20.3"/>
    <n v="0"/>
    <n v="0"/>
    <n v="1"/>
    <s v=""/>
  </r>
  <r>
    <x v="316"/>
    <x v="28"/>
    <n v="27.7"/>
    <n v="0.3"/>
    <n v="8.3099999999999993E-2"/>
    <n v="2"/>
    <s v=""/>
  </r>
  <r>
    <x v="317"/>
    <x v="15"/>
    <n v="28.5"/>
    <n v="30"/>
    <n v="8.5500000000000007"/>
    <n v="3"/>
    <s v=""/>
  </r>
  <r>
    <x v="318"/>
    <x v="17"/>
    <n v="28.7"/>
    <n v="1.9"/>
    <n v="0.5452999999999999"/>
    <n v="4"/>
    <s v=""/>
  </r>
  <r>
    <x v="319"/>
    <x v="0"/>
    <n v="10.9"/>
    <n v="0"/>
    <n v="0"/>
    <n v="5"/>
    <s v=""/>
  </r>
  <r>
    <x v="320"/>
    <x v="5"/>
    <n v="13.7"/>
    <n v="0"/>
    <n v="0"/>
    <n v="6"/>
    <s v=""/>
  </r>
  <r>
    <x v="321"/>
    <x v="7"/>
    <n v="28.2"/>
    <n v="0"/>
    <n v="0"/>
    <n v="7"/>
    <n v="158"/>
  </r>
  <r>
    <x v="322"/>
    <x v="15"/>
    <n v="20.100000000000001"/>
    <n v="0"/>
    <n v="0"/>
    <n v="1"/>
    <s v=""/>
  </r>
  <r>
    <x v="323"/>
    <x v="7"/>
    <n v="20.6"/>
    <n v="0"/>
    <n v="0"/>
    <n v="2"/>
    <s v=""/>
  </r>
  <r>
    <x v="324"/>
    <x v="9"/>
    <n v="15.5"/>
    <n v="16.8"/>
    <n v="2.6040000000000005"/>
    <n v="3"/>
    <s v=""/>
  </r>
  <r>
    <x v="325"/>
    <x v="8"/>
    <n v="22.2"/>
    <n v="2.4"/>
    <n v="0.53279999999999994"/>
    <n v="4"/>
    <s v=""/>
  </r>
  <r>
    <x v="326"/>
    <x v="9"/>
    <n v="15"/>
    <n v="4.0999999999999996"/>
    <n v="0.61499999999999988"/>
    <n v="5"/>
    <s v=""/>
  </r>
  <r>
    <x v="327"/>
    <x v="15"/>
    <n v="18.399999999999999"/>
    <n v="30.4"/>
    <n v="5.5935999999999986"/>
    <n v="6"/>
    <s v=""/>
  </r>
  <r>
    <x v="328"/>
    <x v="28"/>
    <n v="29.3"/>
    <n v="0.4"/>
    <n v="0.11720000000000001"/>
    <n v="7"/>
    <n v="141.10000000000002"/>
  </r>
  <r>
    <x v="329"/>
    <x v="19"/>
    <n v="23.9"/>
    <n v="3.3"/>
    <n v="0.78869999999999996"/>
    <n v="1"/>
    <s v=""/>
  </r>
  <r>
    <x v="330"/>
    <x v="16"/>
    <n v="29.8"/>
    <n v="3.3"/>
    <n v="0.98340000000000005"/>
    <n v="2"/>
    <s v=""/>
  </r>
  <r>
    <x v="331"/>
    <x v="6"/>
    <n v="29.1"/>
    <n v="23"/>
    <n v="6.6930000000000005"/>
    <n v="3"/>
    <s v=""/>
  </r>
  <r>
    <x v="332"/>
    <x v="7"/>
    <n v="22.5"/>
    <n v="17.2"/>
    <n v="3.87"/>
    <n v="4"/>
    <s v=""/>
  </r>
  <r>
    <x v="333"/>
    <x v="15"/>
    <n v="15.3"/>
    <n v="21.5"/>
    <n v="3.2894999999999999"/>
    <n v="5"/>
    <s v=""/>
  </r>
  <r>
    <x v="334"/>
    <x v="6"/>
    <n v="13.8"/>
    <n v="40.4"/>
    <n v="5.5751999999999997"/>
    <n v="6"/>
    <s v=""/>
  </r>
  <r>
    <x v="335"/>
    <x v="3"/>
    <n v="12.3"/>
    <n v="0"/>
    <n v="0"/>
    <n v="7"/>
    <n v="146.70000000000002"/>
  </r>
  <r>
    <x v="336"/>
    <x v="1"/>
    <n v="18.5"/>
    <n v="4.2"/>
    <n v="0.77700000000000002"/>
    <n v="1"/>
    <s v=""/>
  </r>
  <r>
    <x v="337"/>
    <x v="16"/>
    <n v="10.3"/>
    <n v="3.2"/>
    <n v="0.3296"/>
    <n v="2"/>
    <s v=""/>
  </r>
  <r>
    <x v="338"/>
    <x v="15"/>
    <n v="24.9"/>
    <n v="12.1"/>
    <n v="3.0128999999999997"/>
    <n v="3"/>
    <s v=""/>
  </r>
  <r>
    <x v="339"/>
    <x v="6"/>
    <n v="26.4"/>
    <n v="0"/>
    <n v="0"/>
    <n v="4"/>
    <s v=""/>
  </r>
  <r>
    <x v="340"/>
    <x v="3"/>
    <n v="11.8"/>
    <n v="0"/>
    <n v="0"/>
    <n v="5"/>
    <s v=""/>
  </r>
  <r>
    <x v="341"/>
    <x v="2"/>
    <n v="11"/>
    <n v="7.5"/>
    <n v="0.82499999999999996"/>
    <n v="6"/>
    <s v=""/>
  </r>
  <r>
    <x v="342"/>
    <x v="6"/>
    <n v="15.4"/>
    <n v="5.2"/>
    <n v="0.80079999999999996"/>
    <n v="7"/>
    <n v="118.3"/>
  </r>
  <r>
    <x v="343"/>
    <x v="23"/>
    <n v="25.7"/>
    <n v="5.8"/>
    <n v="1.4905999999999999"/>
    <n v="1"/>
    <s v=""/>
  </r>
  <r>
    <x v="344"/>
    <x v="9"/>
    <n v="14.8"/>
    <n v="0"/>
    <n v="0"/>
    <n v="2"/>
    <s v=""/>
  </r>
  <r>
    <x v="345"/>
    <x v="27"/>
    <n v="21.5"/>
    <n v="0.8"/>
    <n v="0.17199999999999999"/>
    <n v="3"/>
    <s v=""/>
  </r>
  <r>
    <x v="346"/>
    <x v="15"/>
    <n v="26.2"/>
    <n v="8.9"/>
    <n v="2.3317999999999999"/>
    <n v="4"/>
    <s v=""/>
  </r>
  <r>
    <x v="347"/>
    <x v="0"/>
    <n v="20.6"/>
    <n v="0.1"/>
    <n v="2.06E-2"/>
    <n v="5"/>
    <s v=""/>
  </r>
  <r>
    <x v="348"/>
    <x v="6"/>
    <n v="14.1"/>
    <n v="20.9"/>
    <n v="2.9468999999999999"/>
    <n v="6"/>
    <s v=""/>
  </r>
  <r>
    <x v="349"/>
    <x v="20"/>
    <n v="20.8"/>
    <n v="0.7"/>
    <n v="0.14559999999999998"/>
    <n v="7"/>
    <n v="143.70000000000002"/>
  </r>
  <r>
    <x v="350"/>
    <x v="14"/>
    <n v="17.600000000000001"/>
    <n v="10.5"/>
    <n v="1.8480000000000001"/>
    <n v="1"/>
    <s v=""/>
  </r>
  <r>
    <x v="351"/>
    <x v="6"/>
    <n v="16.8"/>
    <n v="38.9"/>
    <n v="6.5351999999999997"/>
    <n v="2"/>
    <s v=""/>
  </r>
  <r>
    <x v="352"/>
    <x v="0"/>
    <n v="23.1"/>
    <n v="0"/>
    <n v="0"/>
    <n v="3"/>
    <s v=""/>
  </r>
  <r>
    <x v="353"/>
    <x v="23"/>
    <n v="16.3"/>
    <n v="3.4"/>
    <n v="0.55420000000000003"/>
    <n v="4"/>
    <s v=""/>
  </r>
  <r>
    <x v="354"/>
    <x v="3"/>
    <n v="15.7"/>
    <n v="10.9"/>
    <n v="1.7113"/>
    <n v="5"/>
    <s v=""/>
  </r>
  <r>
    <x v="355"/>
    <x v="14"/>
    <n v="29.3"/>
    <n v="2.1"/>
    <n v="0.61529999999999996"/>
    <n v="6"/>
    <s v=""/>
  </r>
  <r>
    <x v="356"/>
    <x v="18"/>
    <n v="24"/>
    <n v="7.3"/>
    <n v="1.7519999999999998"/>
    <n v="7"/>
    <n v="142.80000000000001"/>
  </r>
  <r>
    <x v="357"/>
    <x v="2"/>
    <n v="27"/>
    <n v="0.6"/>
    <n v="0.16200000000000001"/>
    <n v="1"/>
    <s v=""/>
  </r>
  <r>
    <x v="358"/>
    <x v="6"/>
    <n v="26.3"/>
    <n v="1.2"/>
    <n v="0.31559999999999999"/>
    <n v="2"/>
    <s v=""/>
  </r>
  <r>
    <x v="359"/>
    <x v="11"/>
    <n v="26.3"/>
    <n v="8.1999999999999993"/>
    <n v="2.1566000000000001"/>
    <n v="3"/>
    <s v=""/>
  </r>
  <r>
    <x v="360"/>
    <x v="2"/>
    <n v="25.2"/>
    <n v="4.7"/>
    <n v="1.1843999999999999"/>
    <n v="4"/>
    <s v=""/>
  </r>
  <r>
    <x v="361"/>
    <x v="6"/>
    <n v="22.1"/>
    <n v="0"/>
    <n v="0"/>
    <n v="5"/>
    <s v=""/>
  </r>
  <r>
    <x v="362"/>
    <x v="6"/>
    <n v="11.9"/>
    <n v="41.6"/>
    <n v="4.9504000000000001"/>
    <n v="6"/>
    <s v=""/>
  </r>
  <r>
    <x v="363"/>
    <x v="9"/>
    <n v="19.600000000000001"/>
    <n v="0"/>
    <n v="0"/>
    <n v="7"/>
    <n v="158.4"/>
  </r>
  <r>
    <x v="364"/>
    <x v="23"/>
    <n v="15.9"/>
    <n v="0"/>
    <n v="0"/>
    <n v="1"/>
    <s v=""/>
  </r>
  <r>
    <x v="365"/>
    <x v="8"/>
    <n v="24.3"/>
    <n v="1.7"/>
    <n v="0.41310000000000002"/>
    <n v="2"/>
    <s v=""/>
  </r>
  <r>
    <x v="366"/>
    <x v="10"/>
    <n v="20"/>
    <n v="0"/>
    <n v="0"/>
    <n v="3"/>
    <s v=""/>
  </r>
  <r>
    <x v="367"/>
    <x v="6"/>
    <n v="14.2"/>
    <n v="32.200000000000003"/>
    <n v="4.5724"/>
    <n v="4"/>
    <s v=""/>
  </r>
  <r>
    <x v="368"/>
    <x v="3"/>
    <n v="20.5"/>
    <n v="18.3"/>
    <n v="3.7515000000000005"/>
    <n v="5"/>
    <s v=""/>
  </r>
  <r>
    <x v="369"/>
    <x v="6"/>
    <n v="22.4"/>
    <n v="0"/>
    <n v="0"/>
    <n v="6"/>
    <s v=""/>
  </r>
  <r>
    <x v="370"/>
    <x v="18"/>
    <n v="19.100000000000001"/>
    <n v="0"/>
    <n v="0"/>
    <n v="7"/>
    <n v="136.4"/>
  </r>
  <r>
    <x v="371"/>
    <x v="11"/>
    <n v="20.399999999999999"/>
    <n v="4.3"/>
    <n v="0.87719999999999987"/>
    <n v="1"/>
    <s v=""/>
  </r>
  <r>
    <x v="372"/>
    <x v="15"/>
    <n v="29.8"/>
    <n v="0"/>
    <n v="0"/>
    <n v="2"/>
    <s v=""/>
  </r>
  <r>
    <x v="373"/>
    <x v="29"/>
    <n v="13.7"/>
    <n v="0.7"/>
    <n v="9.5899999999999985E-2"/>
    <n v="3"/>
    <s v=""/>
  </r>
  <r>
    <x v="374"/>
    <x v="4"/>
    <n v="20.2"/>
    <n v="3.7"/>
    <n v="0.74739999999999995"/>
    <n v="4"/>
    <s v=""/>
  </r>
  <r>
    <x v="375"/>
    <x v="7"/>
    <n v="18.2"/>
    <n v="1.6"/>
    <n v="0.29120000000000001"/>
    <n v="5"/>
    <s v=""/>
  </r>
  <r>
    <x v="376"/>
    <x v="9"/>
    <n v="14.2"/>
    <n v="2"/>
    <n v="0.28399999999999997"/>
    <n v="6"/>
    <s v=""/>
  </r>
  <r>
    <x v="377"/>
    <x v="11"/>
    <n v="11.2"/>
    <n v="14.3"/>
    <n v="1.6015999999999999"/>
    <n v="7"/>
    <n v="127.70000000000002"/>
  </r>
  <r>
    <x v="378"/>
    <x v="28"/>
    <n v="13.9"/>
    <n v="0.2"/>
    <n v="2.7800000000000002E-2"/>
    <n v="1"/>
    <s v=""/>
  </r>
  <r>
    <x v="379"/>
    <x v="7"/>
    <n v="22.6"/>
    <n v="15.1"/>
    <n v="3.4125999999999999"/>
    <n v="2"/>
    <s v=""/>
  </r>
  <r>
    <x v="380"/>
    <x v="11"/>
    <n v="29.8"/>
    <n v="0"/>
    <n v="0"/>
    <n v="3"/>
    <s v=""/>
  </r>
  <r>
    <x v="381"/>
    <x v="16"/>
    <n v="12.7"/>
    <n v="2.6"/>
    <n v="0.33019999999999994"/>
    <n v="4"/>
    <s v=""/>
  </r>
  <r>
    <x v="382"/>
    <x v="23"/>
    <n v="14.4"/>
    <n v="0"/>
    <n v="0"/>
    <n v="5"/>
    <s v=""/>
  </r>
  <r>
    <x v="383"/>
    <x v="29"/>
    <n v="18.399999999999999"/>
    <n v="0.2"/>
    <n v="3.6799999999999999E-2"/>
    <n v="6"/>
    <s v=""/>
  </r>
  <r>
    <x v="384"/>
    <x v="5"/>
    <n v="27.2"/>
    <n v="9.6"/>
    <n v="2.6112000000000002"/>
    <n v="7"/>
    <n v="139"/>
  </r>
  <r>
    <x v="385"/>
    <x v="18"/>
    <n v="12.5"/>
    <n v="8.8000000000000007"/>
    <n v="1.1000000000000001"/>
    <n v="1"/>
    <s v=""/>
  </r>
  <r>
    <x v="386"/>
    <x v="22"/>
    <n v="22.6"/>
    <n v="3.5"/>
    <n v="0.79100000000000004"/>
    <n v="2"/>
    <s v=""/>
  </r>
  <r>
    <x v="387"/>
    <x v="3"/>
    <n v="21.8"/>
    <n v="6.5"/>
    <n v="1.4170000000000003"/>
    <n v="3"/>
    <s v=""/>
  </r>
  <r>
    <x v="388"/>
    <x v="19"/>
    <n v="17.2"/>
    <n v="0"/>
    <n v="0"/>
    <n v="4"/>
    <s v=""/>
  </r>
  <r>
    <x v="389"/>
    <x v="9"/>
    <n v="13.4"/>
    <n v="14.1"/>
    <n v="1.8894"/>
    <n v="5"/>
    <s v=""/>
  </r>
  <r>
    <x v="390"/>
    <x v="5"/>
    <n v="13.8"/>
    <n v="9.9"/>
    <n v="1.3662000000000001"/>
    <n v="6"/>
    <s v=""/>
  </r>
  <r>
    <x v="391"/>
    <x v="20"/>
    <n v="10.6"/>
    <n v="1.2"/>
    <n v="0.12719999999999998"/>
    <n v="7"/>
    <n v="111.9"/>
  </r>
  <r>
    <x v="392"/>
    <x v="12"/>
    <n v="28.8"/>
    <n v="0.1"/>
    <n v="2.8800000000000003E-2"/>
    <n v="1"/>
    <s v=""/>
  </r>
  <r>
    <x v="393"/>
    <x v="24"/>
    <n v="16.899999999999999"/>
    <n v="0.7"/>
    <n v="0.11829999999999999"/>
    <n v="2"/>
    <s v=""/>
  </r>
  <r>
    <x v="394"/>
    <x v="14"/>
    <n v="11.2"/>
    <n v="4.8"/>
    <n v="0.53759999999999997"/>
    <n v="3"/>
    <s v=""/>
  </r>
  <r>
    <x v="395"/>
    <x v="6"/>
    <n v="13.9"/>
    <n v="23"/>
    <n v="3.1970000000000001"/>
    <n v="4"/>
    <s v=""/>
  </r>
  <r>
    <x v="396"/>
    <x v="7"/>
    <n v="25.3"/>
    <n v="21.9"/>
    <n v="5.5406999999999993"/>
    <n v="5"/>
    <s v=""/>
  </r>
  <r>
    <x v="397"/>
    <x v="6"/>
    <n v="14.7"/>
    <n v="0"/>
    <n v="0"/>
    <n v="6"/>
    <s v=""/>
  </r>
  <r>
    <x v="398"/>
    <x v="8"/>
    <n v="20.3"/>
    <n v="5.3"/>
    <n v="1.0759000000000001"/>
    <n v="7"/>
    <n v="131.10000000000002"/>
  </r>
  <r>
    <x v="399"/>
    <x v="11"/>
    <n v="25"/>
    <n v="3.8"/>
    <n v="0.95"/>
    <n v="1"/>
    <s v=""/>
  </r>
  <r>
    <x v="400"/>
    <x v="14"/>
    <n v="19.600000000000001"/>
    <n v="0.6"/>
    <n v="0.1176"/>
    <n v="2"/>
    <s v=""/>
  </r>
  <r>
    <x v="401"/>
    <x v="8"/>
    <n v="10.8"/>
    <n v="0"/>
    <n v="0"/>
    <n v="3"/>
    <s v=""/>
  </r>
  <r>
    <x v="402"/>
    <x v="17"/>
    <n v="17.100000000000001"/>
    <n v="0.7"/>
    <n v="0.1197"/>
    <n v="4"/>
    <s v=""/>
  </r>
  <r>
    <x v="403"/>
    <x v="10"/>
    <n v="15.1"/>
    <n v="0"/>
    <n v="0"/>
    <n v="5"/>
    <s v=""/>
  </r>
  <r>
    <x v="404"/>
    <x v="14"/>
    <n v="26.4"/>
    <n v="1.9"/>
    <n v="0.50159999999999993"/>
    <n v="6"/>
    <s v=""/>
  </r>
  <r>
    <x v="405"/>
    <x v="6"/>
    <n v="11.6"/>
    <n v="14.4"/>
    <n v="1.6703999999999999"/>
    <n v="7"/>
    <n v="125.6"/>
  </r>
  <r>
    <x v="406"/>
    <x v="6"/>
    <n v="16.600000000000001"/>
    <n v="40.6"/>
    <n v="6.7396000000000003"/>
    <n v="1"/>
    <s v=""/>
  </r>
  <r>
    <x v="407"/>
    <x v="15"/>
    <n v="19.5"/>
    <n v="24.9"/>
    <n v="4.8554999999999993"/>
    <n v="2"/>
    <s v=""/>
  </r>
  <r>
    <x v="408"/>
    <x v="13"/>
    <n v="24.9"/>
    <n v="6.5"/>
    <n v="1.6185"/>
    <n v="3"/>
    <s v=""/>
  </r>
  <r>
    <x v="409"/>
    <x v="19"/>
    <n v="19.3"/>
    <n v="0.8"/>
    <n v="0.15440000000000001"/>
    <n v="4"/>
    <s v=""/>
  </r>
  <r>
    <x v="410"/>
    <x v="13"/>
    <n v="26.2"/>
    <n v="2.8"/>
    <n v="0.73360000000000003"/>
    <n v="5"/>
    <s v=""/>
  </r>
  <r>
    <x v="411"/>
    <x v="3"/>
    <n v="28.1"/>
    <n v="0.6"/>
    <n v="0.1686"/>
    <n v="6"/>
    <s v=""/>
  </r>
  <r>
    <x v="412"/>
    <x v="10"/>
    <n v="17"/>
    <n v="4.8"/>
    <n v="0.81599999999999995"/>
    <n v="7"/>
    <n v="151.6"/>
  </r>
  <r>
    <x v="413"/>
    <x v="13"/>
    <n v="28.5"/>
    <n v="7.1"/>
    <n v="2.0234999999999999"/>
    <n v="1"/>
    <s v=""/>
  </r>
  <r>
    <x v="414"/>
    <x v="1"/>
    <n v="14.2"/>
    <n v="2.1"/>
    <n v="0.29820000000000002"/>
    <n v="2"/>
    <s v=""/>
  </r>
  <r>
    <x v="415"/>
    <x v="3"/>
    <n v="24.9"/>
    <n v="8.3000000000000007"/>
    <n v="2.0667"/>
    <n v="3"/>
    <s v=""/>
  </r>
  <r>
    <x v="416"/>
    <x v="13"/>
    <n v="19.100000000000001"/>
    <n v="3.4"/>
    <n v="0.64939999999999998"/>
    <n v="4"/>
    <s v=""/>
  </r>
  <r>
    <x v="417"/>
    <x v="6"/>
    <n v="14.9"/>
    <n v="23.1"/>
    <n v="3.4419000000000004"/>
    <n v="5"/>
    <s v=""/>
  </r>
  <r>
    <x v="418"/>
    <x v="23"/>
    <n v="16.899999999999999"/>
    <n v="6.8"/>
    <n v="1.1491999999999998"/>
    <n v="6"/>
    <s v=""/>
  </r>
  <r>
    <x v="419"/>
    <x v="8"/>
    <n v="15.9"/>
    <n v="6.8"/>
    <n v="1.0811999999999999"/>
    <n v="7"/>
    <n v="134.4"/>
  </r>
  <r>
    <x v="420"/>
    <x v="25"/>
    <n v="26.3"/>
    <n v="0.7"/>
    <n v="0.18410000000000001"/>
    <n v="1"/>
    <s v=""/>
  </r>
  <r>
    <x v="421"/>
    <x v="6"/>
    <n v="12.2"/>
    <n v="0"/>
    <n v="0"/>
    <n v="2"/>
    <s v=""/>
  </r>
  <r>
    <x v="422"/>
    <x v="3"/>
    <n v="27.5"/>
    <n v="0"/>
    <n v="0"/>
    <n v="3"/>
    <s v=""/>
  </r>
  <r>
    <x v="423"/>
    <x v="17"/>
    <n v="23"/>
    <n v="0"/>
    <n v="0"/>
    <n v="4"/>
    <s v=""/>
  </r>
  <r>
    <x v="424"/>
    <x v="15"/>
    <n v="17.899999999999999"/>
    <n v="36.799999999999997"/>
    <n v="6.5871999999999993"/>
    <n v="5"/>
    <s v=""/>
  </r>
  <r>
    <x v="425"/>
    <x v="15"/>
    <n v="27.3"/>
    <n v="0"/>
    <n v="0"/>
    <n v="6"/>
    <s v=""/>
  </r>
  <r>
    <x v="426"/>
    <x v="0"/>
    <n v="19.3"/>
    <n v="0.4"/>
    <n v="7.7200000000000005E-2"/>
    <n v="7"/>
    <n v="153.50000000000003"/>
  </r>
  <r>
    <x v="427"/>
    <x v="10"/>
    <n v="25.5"/>
    <n v="0"/>
    <n v="0"/>
    <n v="1"/>
    <s v=""/>
  </r>
  <r>
    <x v="428"/>
    <x v="2"/>
    <n v="13.7"/>
    <n v="11.7"/>
    <n v="1.6029"/>
    <n v="2"/>
    <s v=""/>
  </r>
  <r>
    <x v="429"/>
    <x v="15"/>
    <n v="18.399999999999999"/>
    <n v="0"/>
    <n v="0"/>
    <n v="3"/>
    <s v=""/>
  </r>
  <r>
    <x v="430"/>
    <x v="14"/>
    <n v="11.1"/>
    <n v="0"/>
    <n v="0"/>
    <n v="4"/>
    <s v=""/>
  </r>
  <r>
    <x v="431"/>
    <x v="8"/>
    <n v="28"/>
    <n v="0"/>
    <n v="0"/>
    <n v="5"/>
    <s v=""/>
  </r>
  <r>
    <x v="432"/>
    <x v="2"/>
    <n v="16.2"/>
    <n v="13.7"/>
    <n v="2.2193999999999998"/>
    <n v="6"/>
    <s v=""/>
  </r>
  <r>
    <x v="433"/>
    <x v="15"/>
    <n v="12.1"/>
    <n v="37.200000000000003"/>
    <n v="4.5011999999999999"/>
    <n v="7"/>
    <n v="125"/>
  </r>
  <r>
    <x v="434"/>
    <x v="16"/>
    <n v="21.4"/>
    <n v="3.1"/>
    <n v="0.66339999999999999"/>
    <n v="1"/>
    <s v=""/>
  </r>
  <r>
    <x v="435"/>
    <x v="6"/>
    <n v="11.2"/>
    <n v="0"/>
    <n v="0"/>
    <n v="2"/>
    <s v=""/>
  </r>
  <r>
    <x v="436"/>
    <x v="24"/>
    <n v="18.399999999999999"/>
    <n v="0.2"/>
    <n v="3.6799999999999999E-2"/>
    <n v="3"/>
    <s v=""/>
  </r>
  <r>
    <x v="437"/>
    <x v="8"/>
    <n v="13.7"/>
    <n v="0"/>
    <n v="0"/>
    <n v="4"/>
    <s v=""/>
  </r>
  <r>
    <x v="438"/>
    <x v="15"/>
    <n v="10.4"/>
    <n v="15.6"/>
    <n v="1.6224000000000001"/>
    <n v="5"/>
    <s v=""/>
  </r>
  <r>
    <x v="439"/>
    <x v="27"/>
    <n v="21.8"/>
    <n v="0"/>
    <n v="0"/>
    <n v="6"/>
    <s v=""/>
  </r>
  <r>
    <x v="440"/>
    <x v="3"/>
    <n v="11"/>
    <n v="0.4"/>
    <n v="4.4000000000000004E-2"/>
    <n v="7"/>
    <n v="107.89999999999999"/>
  </r>
  <r>
    <x v="441"/>
    <x v="6"/>
    <n v="19"/>
    <n v="21.9"/>
    <n v="4.1609999999999996"/>
    <n v="1"/>
    <s v=""/>
  </r>
  <r>
    <x v="442"/>
    <x v="6"/>
    <n v="12.5"/>
    <n v="0"/>
    <n v="0"/>
    <n v="2"/>
    <s v=""/>
  </r>
  <r>
    <x v="443"/>
    <x v="11"/>
    <n v="13.6"/>
    <n v="12.6"/>
    <n v="1.7135999999999998"/>
    <n v="3"/>
    <s v=""/>
  </r>
  <r>
    <x v="444"/>
    <x v="6"/>
    <n v="20.2"/>
    <n v="17.899999999999999"/>
    <n v="3.6157999999999997"/>
    <n v="4"/>
    <s v=""/>
  </r>
  <r>
    <x v="445"/>
    <x v="6"/>
    <n v="28.7"/>
    <n v="0"/>
    <n v="0"/>
    <n v="5"/>
    <s v=""/>
  </r>
  <r>
    <x v="446"/>
    <x v="16"/>
    <n v="13.4"/>
    <n v="4.8"/>
    <n v="0.64319999999999988"/>
    <n v="6"/>
    <s v=""/>
  </r>
  <r>
    <x v="447"/>
    <x v="11"/>
    <n v="12"/>
    <n v="8.9"/>
    <n v="1.0680000000000001"/>
    <n v="7"/>
    <n v="119.4"/>
  </r>
  <r>
    <x v="448"/>
    <x v="7"/>
    <n v="28.9"/>
    <n v="13.9"/>
    <n v="4.0171000000000001"/>
    <n v="1"/>
    <s v=""/>
  </r>
  <r>
    <x v="449"/>
    <x v="18"/>
    <n v="25.2"/>
    <n v="0"/>
    <n v="0"/>
    <n v="2"/>
    <s v=""/>
  </r>
  <r>
    <x v="450"/>
    <x v="7"/>
    <n v="18.600000000000001"/>
    <n v="1.8"/>
    <n v="0.33480000000000004"/>
    <n v="3"/>
    <s v=""/>
  </r>
  <r>
    <x v="451"/>
    <x v="22"/>
    <n v="20"/>
    <n v="2.4"/>
    <n v="0.48"/>
    <n v="4"/>
    <s v=""/>
  </r>
  <r>
    <x v="452"/>
    <x v="5"/>
    <n v="14.3"/>
    <n v="3.9"/>
    <n v="0.55770000000000008"/>
    <n v="5"/>
    <s v=""/>
  </r>
  <r>
    <x v="453"/>
    <x v="6"/>
    <n v="28.8"/>
    <n v="25.1"/>
    <n v="7.2288000000000014"/>
    <n v="6"/>
    <s v=""/>
  </r>
  <r>
    <x v="454"/>
    <x v="15"/>
    <n v="26.8"/>
    <n v="10.8"/>
    <n v="2.8944000000000005"/>
    <n v="7"/>
    <n v="162.6"/>
  </r>
  <r>
    <x v="455"/>
    <x v="15"/>
    <n v="20.399999999999999"/>
    <n v="0"/>
    <n v="0"/>
    <n v="1"/>
    <s v=""/>
  </r>
  <r>
    <x v="456"/>
    <x v="18"/>
    <n v="14.1"/>
    <n v="4.5"/>
    <n v="0.63449999999999995"/>
    <n v="2"/>
    <s v=""/>
  </r>
  <r>
    <x v="457"/>
    <x v="10"/>
    <n v="28.1"/>
    <n v="6.3"/>
    <n v="1.7703"/>
    <n v="3"/>
    <s v=""/>
  </r>
  <r>
    <x v="458"/>
    <x v="9"/>
    <n v="15.7"/>
    <n v="11.5"/>
    <n v="1.8054999999999999"/>
    <n v="4"/>
    <s v=""/>
  </r>
  <r>
    <x v="459"/>
    <x v="25"/>
    <n v="27.7"/>
    <n v="0.6"/>
    <n v="0.16619999999999999"/>
    <n v="5"/>
    <s v=""/>
  </r>
  <r>
    <x v="460"/>
    <x v="3"/>
    <n v="22.9"/>
    <n v="22.6"/>
    <n v="5.1753999999999998"/>
    <n v="6"/>
    <s v=""/>
  </r>
  <r>
    <x v="461"/>
    <x v="9"/>
    <n v="10.3"/>
    <n v="0"/>
    <n v="0"/>
    <n v="7"/>
    <n v="139.20000000000002"/>
  </r>
  <r>
    <x v="462"/>
    <x v="19"/>
    <n v="28.4"/>
    <n v="4"/>
    <n v="1.1359999999999999"/>
    <n v="1"/>
    <s v=""/>
  </r>
  <r>
    <x v="463"/>
    <x v="14"/>
    <n v="18.7"/>
    <n v="15"/>
    <n v="2.8050000000000002"/>
    <n v="2"/>
    <s v=""/>
  </r>
  <r>
    <x v="464"/>
    <x v="15"/>
    <n v="13.7"/>
    <n v="9.4"/>
    <n v="1.2878000000000001"/>
    <n v="3"/>
    <s v=""/>
  </r>
  <r>
    <x v="465"/>
    <x v="10"/>
    <n v="16.3"/>
    <n v="3.6"/>
    <n v="0.5868000000000001"/>
    <n v="4"/>
    <s v=""/>
  </r>
  <r>
    <x v="466"/>
    <x v="23"/>
    <n v="14"/>
    <n v="0"/>
    <n v="0"/>
    <n v="5"/>
    <s v=""/>
  </r>
  <r>
    <x v="467"/>
    <x v="11"/>
    <n v="26"/>
    <n v="5.5"/>
    <n v="1.43"/>
    <n v="6"/>
    <s v=""/>
  </r>
  <r>
    <x v="468"/>
    <x v="15"/>
    <n v="27"/>
    <n v="38.6"/>
    <n v="10.422000000000001"/>
    <n v="7"/>
    <n v="144.1"/>
  </r>
  <r>
    <x v="469"/>
    <x v="6"/>
    <n v="26.6"/>
    <n v="49.7"/>
    <n v="13.220200000000002"/>
    <n v="1"/>
    <s v=""/>
  </r>
  <r>
    <x v="470"/>
    <x v="15"/>
    <n v="20.9"/>
    <n v="30"/>
    <n v="6.27"/>
    <n v="2"/>
    <s v=""/>
  </r>
  <r>
    <x v="471"/>
    <x v="18"/>
    <n v="28.5"/>
    <n v="5.3"/>
    <n v="1.5104999999999997"/>
    <n v="3"/>
    <s v=""/>
  </r>
  <r>
    <x v="472"/>
    <x v="1"/>
    <n v="10.4"/>
    <n v="0"/>
    <n v="0"/>
    <n v="4"/>
    <s v=""/>
  </r>
  <r>
    <x v="473"/>
    <x v="14"/>
    <n v="25.9"/>
    <n v="9.1999999999999993"/>
    <n v="2.3827999999999996"/>
    <n v="5"/>
    <s v=""/>
  </r>
  <r>
    <x v="474"/>
    <x v="7"/>
    <n v="24.6"/>
    <n v="11"/>
    <n v="2.7060000000000004"/>
    <n v="6"/>
    <s v=""/>
  </r>
  <r>
    <x v="475"/>
    <x v="12"/>
    <n v="22"/>
    <n v="0"/>
    <n v="0"/>
    <n v="7"/>
    <n v="158.9"/>
  </r>
  <r>
    <x v="476"/>
    <x v="4"/>
    <n v="16.8"/>
    <n v="2.4"/>
    <n v="0.4032"/>
    <n v="1"/>
    <s v=""/>
  </r>
  <r>
    <x v="477"/>
    <x v="6"/>
    <n v="21.7"/>
    <n v="44.1"/>
    <n v="9.569700000000001"/>
    <n v="2"/>
    <s v=""/>
  </r>
  <r>
    <x v="478"/>
    <x v="8"/>
    <n v="28.9"/>
    <n v="0"/>
    <n v="0"/>
    <n v="3"/>
    <s v=""/>
  </r>
  <r>
    <x v="479"/>
    <x v="9"/>
    <n v="26.6"/>
    <n v="0.4"/>
    <n v="0.10640000000000001"/>
    <n v="4"/>
    <s v=""/>
  </r>
  <r>
    <x v="480"/>
    <x v="11"/>
    <n v="28"/>
    <n v="16.7"/>
    <n v="4.6759999999999993"/>
    <n v="5"/>
    <s v=""/>
  </r>
  <r>
    <x v="481"/>
    <x v="13"/>
    <n v="27.5"/>
    <n v="0"/>
    <n v="0"/>
    <n v="6"/>
    <s v=""/>
  </r>
  <r>
    <x v="482"/>
    <x v="18"/>
    <n v="18.2"/>
    <n v="0"/>
    <n v="0"/>
    <n v="7"/>
    <n v="167.7"/>
  </r>
  <r>
    <x v="483"/>
    <x v="14"/>
    <n v="25.1"/>
    <n v="0"/>
    <n v="0"/>
    <n v="1"/>
    <s v=""/>
  </r>
  <r>
    <x v="484"/>
    <x v="0"/>
    <n v="10.1"/>
    <n v="0.2"/>
    <n v="2.0199999999999999E-2"/>
    <n v="2"/>
    <s v=""/>
  </r>
  <r>
    <x v="485"/>
    <x v="11"/>
    <n v="13.1"/>
    <n v="7.9"/>
    <n v="1.0348999999999999"/>
    <n v="3"/>
    <s v=""/>
  </r>
  <r>
    <x v="486"/>
    <x v="5"/>
    <n v="22.9"/>
    <n v="0"/>
    <n v="0"/>
    <n v="4"/>
    <s v=""/>
  </r>
  <r>
    <x v="487"/>
    <x v="5"/>
    <n v="26.3"/>
    <n v="4"/>
    <n v="1.052"/>
    <n v="5"/>
    <s v=""/>
  </r>
  <r>
    <x v="488"/>
    <x v="15"/>
    <n v="11.3"/>
    <n v="19.8"/>
    <n v="2.2374000000000001"/>
    <n v="6"/>
    <s v=""/>
  </r>
  <r>
    <x v="489"/>
    <x v="6"/>
    <n v="30"/>
    <n v="0"/>
    <n v="0"/>
    <n v="7"/>
    <n v="138.80000000000001"/>
  </r>
  <r>
    <x v="490"/>
    <x v="18"/>
    <n v="20.399999999999999"/>
    <n v="0"/>
    <n v="0"/>
    <n v="1"/>
    <s v=""/>
  </r>
  <r>
    <x v="491"/>
    <x v="3"/>
    <n v="24.5"/>
    <n v="8.6999999999999993"/>
    <n v="2.1315"/>
    <n v="2"/>
    <s v=""/>
  </r>
  <r>
    <x v="492"/>
    <x v="7"/>
    <n v="17"/>
    <n v="2.7"/>
    <n v="0.45900000000000007"/>
    <n v="3"/>
    <s v=""/>
  </r>
  <r>
    <x v="493"/>
    <x v="15"/>
    <n v="21"/>
    <n v="5.6"/>
    <n v="1.1759999999999999"/>
    <n v="4"/>
    <s v=""/>
  </r>
  <r>
    <x v="494"/>
    <x v="15"/>
    <n v="20.7"/>
    <n v="0"/>
    <n v="0"/>
    <n v="5"/>
    <s v=""/>
  </r>
  <r>
    <x v="495"/>
    <x v="8"/>
    <n v="26.7"/>
    <n v="9.8000000000000007"/>
    <n v="2.6166"/>
    <n v="6"/>
    <s v=""/>
  </r>
  <r>
    <x v="496"/>
    <x v="26"/>
    <n v="10.199999999999999"/>
    <n v="0.1"/>
    <n v="1.0200000000000001E-2"/>
    <n v="7"/>
    <n v="140.5"/>
  </r>
  <r>
    <x v="497"/>
    <x v="6"/>
    <n v="15.7"/>
    <n v="5.8"/>
    <n v="0.91059999999999985"/>
    <n v="1"/>
    <s v=""/>
  </r>
  <r>
    <x v="498"/>
    <x v="29"/>
    <n v="15.9"/>
    <n v="2.2000000000000002"/>
    <n v="0.34980000000000006"/>
    <n v="2"/>
    <s v=""/>
  </r>
  <r>
    <x v="499"/>
    <x v="15"/>
    <n v="21"/>
    <n v="13.1"/>
    <n v="2.7509999999999994"/>
    <n v="3"/>
    <s v=""/>
  </r>
  <r>
    <x v="500"/>
    <x v="5"/>
    <n v="10.9"/>
    <n v="8.1"/>
    <n v="0.88289999999999991"/>
    <n v="4"/>
    <s v=""/>
  </r>
  <r>
    <x v="501"/>
    <x v="18"/>
    <n v="20.9"/>
    <n v="5.9"/>
    <n v="1.2331000000000001"/>
    <n v="5"/>
    <s v=""/>
  </r>
  <r>
    <x v="502"/>
    <x v="15"/>
    <n v="21.8"/>
    <n v="15.9"/>
    <n v="3.4662000000000002"/>
    <n v="6"/>
    <s v=""/>
  </r>
  <r>
    <x v="503"/>
    <x v="11"/>
    <n v="11.9"/>
    <n v="18.100000000000001"/>
    <n v="2.1539000000000001"/>
    <n v="7"/>
    <n v="118.10000000000001"/>
  </r>
  <r>
    <x v="504"/>
    <x v="9"/>
    <n v="12.9"/>
    <n v="0"/>
    <n v="0"/>
    <n v="1"/>
    <s v=""/>
  </r>
  <r>
    <x v="505"/>
    <x v="15"/>
    <n v="14.9"/>
    <n v="4.8"/>
    <n v="0.71519999999999995"/>
    <n v="2"/>
    <s v=""/>
  </r>
  <r>
    <x v="506"/>
    <x v="6"/>
    <n v="29.5"/>
    <n v="0"/>
    <n v="0"/>
    <n v="3"/>
    <s v=""/>
  </r>
  <r>
    <x v="507"/>
    <x v="15"/>
    <n v="18.100000000000001"/>
    <n v="0"/>
    <n v="0"/>
    <n v="4"/>
    <s v=""/>
  </r>
  <r>
    <x v="508"/>
    <x v="2"/>
    <n v="10.8"/>
    <n v="11.8"/>
    <n v="1.2744000000000002"/>
    <n v="5"/>
    <s v=""/>
  </r>
  <r>
    <x v="509"/>
    <x v="5"/>
    <n v="13.5"/>
    <n v="5.4"/>
    <n v="0.72900000000000009"/>
    <n v="6"/>
    <s v=""/>
  </r>
  <r>
    <x v="510"/>
    <x v="18"/>
    <n v="15.9"/>
    <n v="0"/>
    <n v="0"/>
    <n v="7"/>
    <n v="115.60000000000001"/>
  </r>
  <r>
    <x v="511"/>
    <x v="22"/>
    <n v="23.1"/>
    <n v="0"/>
    <n v="0"/>
    <n v="1"/>
    <s v=""/>
  </r>
  <r>
    <x v="512"/>
    <x v="12"/>
    <n v="26.7"/>
    <n v="0"/>
    <n v="0"/>
    <n v="2"/>
    <s v=""/>
  </r>
  <r>
    <x v="513"/>
    <x v="6"/>
    <n v="26"/>
    <n v="29.1"/>
    <n v="7.5659999999999998"/>
    <n v="3"/>
    <s v=""/>
  </r>
  <r>
    <x v="514"/>
    <x v="14"/>
    <n v="23.6"/>
    <n v="9.1"/>
    <n v="2.1475999999999997"/>
    <n v="4"/>
    <s v=""/>
  </r>
  <r>
    <x v="515"/>
    <x v="22"/>
    <n v="29.8"/>
    <n v="5.7"/>
    <n v="1.6986000000000001"/>
    <n v="5"/>
    <s v=""/>
  </r>
  <r>
    <x v="516"/>
    <x v="15"/>
    <n v="18.600000000000001"/>
    <n v="0"/>
    <n v="0"/>
    <n v="6"/>
    <s v=""/>
  </r>
  <r>
    <x v="517"/>
    <x v="11"/>
    <n v="17.600000000000001"/>
    <n v="2.4"/>
    <n v="0.4224"/>
    <n v="7"/>
    <n v="165.4"/>
  </r>
  <r>
    <x v="518"/>
    <x v="11"/>
    <n v="12.6"/>
    <n v="9.1999999999999993"/>
    <n v="1.1591999999999998"/>
    <n v="1"/>
    <s v=""/>
  </r>
  <r>
    <x v="519"/>
    <x v="13"/>
    <n v="25.4"/>
    <n v="5.4"/>
    <n v="1.3715999999999999"/>
    <n v="2"/>
    <s v=""/>
  </r>
  <r>
    <x v="520"/>
    <x v="16"/>
    <n v="12.8"/>
    <n v="3.6"/>
    <n v="0.46080000000000004"/>
    <n v="3"/>
    <s v=""/>
  </r>
  <r>
    <x v="521"/>
    <x v="7"/>
    <n v="18.7"/>
    <n v="0"/>
    <n v="0"/>
    <n v="4"/>
    <s v=""/>
  </r>
  <r>
    <x v="522"/>
    <x v="29"/>
    <n v="22.3"/>
    <n v="0"/>
    <n v="0"/>
    <n v="5"/>
    <s v=""/>
  </r>
  <r>
    <x v="523"/>
    <x v="14"/>
    <n v="26.4"/>
    <n v="0.5"/>
    <n v="0.13200000000000001"/>
    <n v="6"/>
    <s v=""/>
  </r>
  <r>
    <x v="524"/>
    <x v="3"/>
    <n v="28.5"/>
    <n v="3.2"/>
    <n v="0.91200000000000003"/>
    <n v="7"/>
    <n v="146.69999999999999"/>
  </r>
  <r>
    <x v="525"/>
    <x v="13"/>
    <n v="16.8"/>
    <n v="5.5"/>
    <n v="0.92400000000000004"/>
    <n v="1"/>
    <s v=""/>
  </r>
  <r>
    <x v="526"/>
    <x v="23"/>
    <n v="24.7"/>
    <n v="0.8"/>
    <n v="0.19760000000000003"/>
    <n v="2"/>
    <s v=""/>
  </r>
  <r>
    <x v="527"/>
    <x v="5"/>
    <n v="29.6"/>
    <n v="0"/>
    <n v="0"/>
    <n v="3"/>
    <s v=""/>
  </r>
  <r>
    <x v="528"/>
    <x v="6"/>
    <n v="23.3"/>
    <n v="29.4"/>
    <n v="6.8502000000000001"/>
    <n v="4"/>
    <s v=""/>
  </r>
  <r>
    <x v="529"/>
    <x v="5"/>
    <n v="28.8"/>
    <n v="11.5"/>
    <n v="3.3119999999999998"/>
    <n v="5"/>
    <s v=""/>
  </r>
  <r>
    <x v="530"/>
    <x v="5"/>
    <n v="26.5"/>
    <n v="0"/>
    <n v="0"/>
    <n v="6"/>
    <s v=""/>
  </r>
  <r>
    <x v="531"/>
    <x v="19"/>
    <n v="17.100000000000001"/>
    <n v="3.6"/>
    <n v="0.61560000000000015"/>
    <n v="7"/>
    <n v="166.79999999999998"/>
  </r>
  <r>
    <x v="532"/>
    <x v="5"/>
    <n v="17.8"/>
    <n v="7"/>
    <n v="1.246"/>
    <n v="1"/>
    <s v=""/>
  </r>
  <r>
    <x v="533"/>
    <x v="23"/>
    <n v="24.7"/>
    <n v="1.5"/>
    <n v="0.3705"/>
    <n v="2"/>
    <s v=""/>
  </r>
  <r>
    <x v="534"/>
    <x v="15"/>
    <n v="25.1"/>
    <n v="0"/>
    <n v="0"/>
    <n v="3"/>
    <s v=""/>
  </r>
  <r>
    <x v="535"/>
    <x v="28"/>
    <n v="27"/>
    <n v="0"/>
    <n v="0"/>
    <n v="4"/>
    <s v=""/>
  </r>
  <r>
    <x v="536"/>
    <x v="14"/>
    <n v="18.2"/>
    <n v="13.9"/>
    <n v="2.5297999999999998"/>
    <n v="5"/>
    <s v=""/>
  </r>
  <r>
    <x v="537"/>
    <x v="11"/>
    <n v="10.8"/>
    <n v="7.9"/>
    <n v="0.85320000000000007"/>
    <n v="6"/>
    <s v=""/>
  </r>
  <r>
    <x v="538"/>
    <x v="3"/>
    <n v="27.9"/>
    <n v="9.9"/>
    <n v="2.7620999999999998"/>
    <n v="7"/>
    <n v="151.5"/>
  </r>
  <r>
    <x v="539"/>
    <x v="20"/>
    <n v="14.1"/>
    <n v="0.7"/>
    <n v="9.8699999999999996E-2"/>
    <n v="1"/>
    <s v=""/>
  </r>
  <r>
    <x v="540"/>
    <x v="14"/>
    <n v="17.5"/>
    <n v="3.2"/>
    <n v="0.56000000000000005"/>
    <n v="2"/>
    <s v=""/>
  </r>
  <r>
    <x v="541"/>
    <x v="6"/>
    <n v="14.3"/>
    <n v="0"/>
    <n v="0"/>
    <n v="3"/>
    <s v=""/>
  </r>
  <r>
    <x v="542"/>
    <x v="16"/>
    <n v="15.4"/>
    <n v="0"/>
    <n v="0"/>
    <n v="4"/>
    <s v=""/>
  </r>
  <r>
    <x v="543"/>
    <x v="15"/>
    <n v="17.5"/>
    <n v="0"/>
    <n v="0"/>
    <n v="5"/>
    <s v=""/>
  </r>
  <r>
    <x v="544"/>
    <x v="9"/>
    <n v="11.6"/>
    <n v="4.0999999999999996"/>
    <n v="0.47559999999999997"/>
    <n v="6"/>
    <s v=""/>
  </r>
  <r>
    <x v="545"/>
    <x v="5"/>
    <n v="27.9"/>
    <n v="10.3"/>
    <n v="2.8736999999999999"/>
    <n v="7"/>
    <n v="118.30000000000001"/>
  </r>
  <r>
    <x v="546"/>
    <x v="15"/>
    <n v="11.8"/>
    <n v="20.2"/>
    <n v="2.3835999999999999"/>
    <n v="1"/>
    <s v=""/>
  </r>
  <r>
    <x v="547"/>
    <x v="3"/>
    <n v="12"/>
    <n v="8.5"/>
    <n v="1.02"/>
    <n v="2"/>
    <s v=""/>
  </r>
  <r>
    <x v="548"/>
    <x v="6"/>
    <n v="11.8"/>
    <n v="7.8"/>
    <n v="0.92040000000000011"/>
    <n v="3"/>
    <s v=""/>
  </r>
  <r>
    <x v="549"/>
    <x v="13"/>
    <n v="22.2"/>
    <n v="0"/>
    <n v="0"/>
    <n v="4"/>
    <s v=""/>
  </r>
  <r>
    <x v="550"/>
    <x v="3"/>
    <n v="13.3"/>
    <n v="3.8"/>
    <n v="0.50539999999999996"/>
    <n v="5"/>
    <s v=""/>
  </r>
  <r>
    <x v="551"/>
    <x v="9"/>
    <n v="24.6"/>
    <n v="2.1"/>
    <n v="0.51660000000000006"/>
    <n v="6"/>
    <s v=""/>
  </r>
  <r>
    <x v="552"/>
    <x v="15"/>
    <n v="15.7"/>
    <n v="0"/>
    <n v="0"/>
    <n v="7"/>
    <n v="111.39999999999999"/>
  </r>
  <r>
    <x v="553"/>
    <x v="14"/>
    <n v="26.7"/>
    <n v="16.2"/>
    <n v="4.3253999999999992"/>
    <n v="1"/>
    <s v=""/>
  </r>
  <r>
    <x v="554"/>
    <x v="11"/>
    <n v="28.1"/>
    <n v="1.1000000000000001"/>
    <n v="0.30910000000000004"/>
    <n v="2"/>
    <s v=""/>
  </r>
  <r>
    <x v="555"/>
    <x v="6"/>
    <n v="29.1"/>
    <n v="3"/>
    <n v="0.87300000000000011"/>
    <n v="3"/>
    <s v=""/>
  </r>
  <r>
    <x v="556"/>
    <x v="3"/>
    <n v="26.2"/>
    <n v="0"/>
    <n v="0"/>
    <n v="4"/>
    <s v=""/>
  </r>
  <r>
    <x v="557"/>
    <x v="27"/>
    <n v="23.3"/>
    <n v="0"/>
    <n v="0"/>
    <n v="5"/>
    <s v=""/>
  </r>
  <r>
    <x v="558"/>
    <x v="15"/>
    <n v="21.7"/>
    <n v="10.4"/>
    <n v="2.2568000000000001"/>
    <n v="6"/>
    <s v=""/>
  </r>
  <r>
    <x v="559"/>
    <x v="14"/>
    <n v="18.8"/>
    <n v="15.6"/>
    <n v="2.9328000000000003"/>
    <n v="7"/>
    <n v="173.9"/>
  </r>
  <r>
    <x v="560"/>
    <x v="11"/>
    <n v="25.4"/>
    <n v="7.4"/>
    <n v="1.8796000000000002"/>
    <n v="1"/>
    <s v=""/>
  </r>
  <r>
    <x v="561"/>
    <x v="7"/>
    <n v="21.1"/>
    <n v="1"/>
    <n v="0.21100000000000002"/>
    <n v="2"/>
    <s v=""/>
  </r>
  <r>
    <x v="562"/>
    <x v="7"/>
    <n v="25.1"/>
    <n v="20"/>
    <n v="5.0199999999999996"/>
    <n v="3"/>
    <s v=""/>
  </r>
  <r>
    <x v="563"/>
    <x v="3"/>
    <n v="17.600000000000001"/>
    <n v="0"/>
    <n v="0"/>
    <n v="4"/>
    <s v=""/>
  </r>
  <r>
    <x v="564"/>
    <x v="11"/>
    <n v="21.2"/>
    <n v="3.4"/>
    <n v="0.7208"/>
    <n v="5"/>
    <s v=""/>
  </r>
  <r>
    <x v="565"/>
    <x v="3"/>
    <n v="26.4"/>
    <n v="14.7"/>
    <n v="3.8807999999999998"/>
    <n v="6"/>
    <s v=""/>
  </r>
  <r>
    <x v="566"/>
    <x v="1"/>
    <n v="13.5"/>
    <n v="0"/>
    <n v="0"/>
    <n v="7"/>
    <n v="150.29999999999998"/>
  </r>
  <r>
    <x v="567"/>
    <x v="18"/>
    <n v="25.1"/>
    <n v="0"/>
    <n v="0"/>
    <n v="1"/>
    <s v=""/>
  </r>
  <r>
    <x v="568"/>
    <x v="7"/>
    <n v="10.4"/>
    <n v="11"/>
    <n v="1.1440000000000001"/>
    <n v="2"/>
    <s v=""/>
  </r>
  <r>
    <x v="569"/>
    <x v="11"/>
    <n v="24.3"/>
    <n v="4.9000000000000004"/>
    <n v="1.1907000000000001"/>
    <n v="3"/>
    <s v=""/>
  </r>
  <r>
    <x v="570"/>
    <x v="8"/>
    <n v="18.7"/>
    <n v="6.2"/>
    <n v="1.1594"/>
    <n v="4"/>
    <s v=""/>
  </r>
  <r>
    <x v="571"/>
    <x v="29"/>
    <n v="14.1"/>
    <n v="0"/>
    <n v="0"/>
    <n v="5"/>
    <s v=""/>
  </r>
  <r>
    <x v="572"/>
    <x v="19"/>
    <n v="24.2"/>
    <n v="0"/>
    <n v="0"/>
    <n v="6"/>
    <s v=""/>
  </r>
  <r>
    <x v="573"/>
    <x v="18"/>
    <n v="26.4"/>
    <n v="0"/>
    <n v="0"/>
    <n v="7"/>
    <n v="143.19999999999999"/>
  </r>
  <r>
    <x v="574"/>
    <x v="6"/>
    <n v="24.5"/>
    <n v="4"/>
    <n v="0.98"/>
    <n v="1"/>
    <s v=""/>
  </r>
  <r>
    <x v="575"/>
    <x v="10"/>
    <n v="25.5"/>
    <n v="2.9"/>
    <n v="0.73950000000000005"/>
    <n v="2"/>
    <s v=""/>
  </r>
  <r>
    <x v="576"/>
    <x v="7"/>
    <n v="11.8"/>
    <n v="13.5"/>
    <n v="1.5930000000000002"/>
    <n v="3"/>
    <s v=""/>
  </r>
  <r>
    <x v="577"/>
    <x v="18"/>
    <n v="14.3"/>
    <n v="5.4"/>
    <n v="0.77220000000000011"/>
    <n v="4"/>
    <s v=""/>
  </r>
  <r>
    <x v="578"/>
    <x v="5"/>
    <n v="12.4"/>
    <n v="1.2"/>
    <n v="0.14879999999999999"/>
    <n v="5"/>
    <s v=""/>
  </r>
  <r>
    <x v="579"/>
    <x v="15"/>
    <n v="29.3"/>
    <n v="19.8"/>
    <n v="5.8014000000000001"/>
    <n v="6"/>
    <s v=""/>
  </r>
  <r>
    <x v="580"/>
    <x v="3"/>
    <n v="29.4"/>
    <n v="0"/>
    <n v="0"/>
    <n v="7"/>
    <n v="147.19999999999999"/>
  </r>
  <r>
    <x v="581"/>
    <x v="9"/>
    <n v="29.8"/>
    <n v="16"/>
    <n v="4.7679999999999998"/>
    <n v="1"/>
    <s v=""/>
  </r>
  <r>
    <x v="582"/>
    <x v="15"/>
    <n v="29.9"/>
    <n v="13.3"/>
    <n v="3.9767000000000001"/>
    <n v="2"/>
    <s v=""/>
  </r>
  <r>
    <x v="583"/>
    <x v="5"/>
    <n v="11.6"/>
    <n v="9.6999999999999993"/>
    <n v="1.1251999999999998"/>
    <n v="3"/>
    <s v=""/>
  </r>
  <r>
    <x v="584"/>
    <x v="7"/>
    <n v="10.199999999999999"/>
    <n v="0"/>
    <n v="0"/>
    <n v="4"/>
    <s v=""/>
  </r>
  <r>
    <x v="585"/>
    <x v="5"/>
    <n v="10.7"/>
    <n v="11.9"/>
    <n v="1.2732999999999999"/>
    <n v="5"/>
    <s v=""/>
  </r>
  <r>
    <x v="586"/>
    <x v="26"/>
    <n v="11.7"/>
    <n v="0.1"/>
    <n v="1.1699999999999999E-2"/>
    <n v="6"/>
    <s v=""/>
  </r>
  <r>
    <x v="587"/>
    <x v="14"/>
    <n v="29.4"/>
    <n v="9.6"/>
    <n v="2.8223999999999996"/>
    <n v="7"/>
    <n v="133.30000000000001"/>
  </r>
  <r>
    <x v="588"/>
    <x v="16"/>
    <n v="29.1"/>
    <n v="2.6"/>
    <n v="0.75660000000000016"/>
    <n v="1"/>
    <s v=""/>
  </r>
  <r>
    <x v="589"/>
    <x v="6"/>
    <n v="20.5"/>
    <n v="30.1"/>
    <n v="6.1705000000000005"/>
    <n v="2"/>
    <s v=""/>
  </r>
  <r>
    <x v="590"/>
    <x v="3"/>
    <n v="26.2"/>
    <n v="19"/>
    <n v="4.9779999999999998"/>
    <n v="3"/>
    <s v=""/>
  </r>
  <r>
    <x v="591"/>
    <x v="11"/>
    <n v="22.6"/>
    <n v="0"/>
    <n v="0"/>
    <n v="4"/>
    <s v=""/>
  </r>
  <r>
    <x v="592"/>
    <x v="10"/>
    <n v="17.7"/>
    <n v="0"/>
    <n v="0"/>
    <n v="5"/>
    <s v=""/>
  </r>
  <r>
    <x v="593"/>
    <x v="15"/>
    <n v="21.2"/>
    <n v="0"/>
    <n v="0"/>
    <n v="6"/>
    <s v=""/>
  </r>
  <r>
    <x v="594"/>
    <x v="29"/>
    <n v="10.3"/>
    <n v="0.2"/>
    <n v="2.06E-2"/>
    <n v="7"/>
    <n v="147.60000000000002"/>
  </r>
  <r>
    <x v="595"/>
    <x v="21"/>
    <n v="10.1"/>
    <n v="2.1"/>
    <n v="0.21210000000000001"/>
    <n v="1"/>
    <s v=""/>
  </r>
  <r>
    <x v="596"/>
    <x v="4"/>
    <n v="23.4"/>
    <n v="3.9"/>
    <n v="0.91259999999999986"/>
    <n v="2"/>
    <s v=""/>
  </r>
  <r>
    <x v="597"/>
    <x v="27"/>
    <n v="11.7"/>
    <n v="0"/>
    <n v="0"/>
    <n v="3"/>
    <s v=""/>
  </r>
  <r>
    <x v="598"/>
    <x v="1"/>
    <n v="26"/>
    <n v="2.1"/>
    <n v="0.54600000000000004"/>
    <n v="4"/>
    <s v=""/>
  </r>
  <r>
    <x v="599"/>
    <x v="26"/>
    <n v="29.5"/>
    <n v="0.4"/>
    <n v="0.11800000000000001"/>
    <n v="5"/>
    <s v=""/>
  </r>
  <r>
    <x v="600"/>
    <x v="10"/>
    <n v="13"/>
    <n v="4.4000000000000004"/>
    <n v="0.57200000000000006"/>
    <n v="6"/>
    <s v=""/>
  </r>
  <r>
    <x v="601"/>
    <x v="5"/>
    <n v="17.100000000000001"/>
    <n v="3.8"/>
    <n v="0.64980000000000004"/>
    <n v="7"/>
    <n v="130.80000000000001"/>
  </r>
  <r>
    <x v="602"/>
    <x v="23"/>
    <n v="12.6"/>
    <n v="0.2"/>
    <n v="2.52E-2"/>
    <n v="1"/>
    <s v=""/>
  </r>
  <r>
    <x v="603"/>
    <x v="6"/>
    <n v="23.6"/>
    <n v="24.1"/>
    <n v="5.6876000000000007"/>
    <n v="2"/>
    <s v=""/>
  </r>
  <r>
    <x v="604"/>
    <x v="7"/>
    <n v="14.9"/>
    <n v="14.2"/>
    <n v="2.1157999999999997"/>
    <n v="3"/>
    <s v=""/>
  </r>
  <r>
    <x v="605"/>
    <x v="8"/>
    <n v="17"/>
    <n v="0"/>
    <n v="0"/>
    <n v="4"/>
    <s v=""/>
  </r>
  <r>
    <x v="606"/>
    <x v="7"/>
    <n v="12.8"/>
    <n v="0"/>
    <n v="0"/>
    <n v="5"/>
    <s v=""/>
  </r>
  <r>
    <x v="607"/>
    <x v="9"/>
    <n v="17.5"/>
    <n v="0"/>
    <n v="0"/>
    <n v="6"/>
    <s v=""/>
  </r>
  <r>
    <x v="608"/>
    <x v="6"/>
    <n v="13.9"/>
    <n v="15.3"/>
    <n v="2.1267"/>
    <n v="7"/>
    <n v="112.3"/>
  </r>
  <r>
    <x v="609"/>
    <x v="15"/>
    <n v="25.9"/>
    <n v="14.5"/>
    <n v="3.7554999999999996"/>
    <n v="1"/>
    <s v=""/>
  </r>
  <r>
    <x v="610"/>
    <x v="13"/>
    <n v="12.1"/>
    <n v="0"/>
    <n v="0"/>
    <n v="2"/>
    <s v=""/>
  </r>
  <r>
    <x v="611"/>
    <x v="3"/>
    <n v="25.8"/>
    <n v="12.3"/>
    <n v="3.1734000000000004"/>
    <n v="3"/>
    <s v=""/>
  </r>
  <r>
    <x v="612"/>
    <x v="5"/>
    <n v="29.1"/>
    <n v="0"/>
    <n v="0"/>
    <n v="4"/>
    <s v=""/>
  </r>
  <r>
    <x v="613"/>
    <x v="6"/>
    <n v="13.2"/>
    <n v="0"/>
    <n v="0"/>
    <n v="5"/>
    <s v=""/>
  </r>
  <r>
    <x v="614"/>
    <x v="3"/>
    <n v="29.4"/>
    <n v="12.8"/>
    <n v="3.7631999999999999"/>
    <n v="6"/>
    <s v=""/>
  </r>
  <r>
    <x v="615"/>
    <x v="11"/>
    <n v="21"/>
    <n v="0"/>
    <n v="0"/>
    <n v="7"/>
    <n v="156.5"/>
  </r>
  <r>
    <x v="616"/>
    <x v="2"/>
    <n v="22.7"/>
    <n v="12.4"/>
    <n v="2.8148"/>
    <n v="1"/>
    <s v=""/>
  </r>
  <r>
    <x v="617"/>
    <x v="6"/>
    <n v="25.1"/>
    <n v="43.4"/>
    <n v="10.8934"/>
    <n v="2"/>
    <s v=""/>
  </r>
  <r>
    <x v="618"/>
    <x v="6"/>
    <n v="26.8"/>
    <n v="26.9"/>
    <n v="7.2091999999999992"/>
    <n v="3"/>
    <s v=""/>
  </r>
  <r>
    <x v="619"/>
    <x v="25"/>
    <n v="15.9"/>
    <n v="0.5"/>
    <n v="7.9500000000000001E-2"/>
    <n v="4"/>
    <s v=""/>
  </r>
  <r>
    <x v="620"/>
    <x v="14"/>
    <n v="27.6"/>
    <n v="0"/>
    <n v="0"/>
    <n v="5"/>
    <s v=""/>
  </r>
  <r>
    <x v="621"/>
    <x v="21"/>
    <n v="20.8"/>
    <n v="0"/>
    <n v="0"/>
    <n v="6"/>
    <s v=""/>
  </r>
  <r>
    <x v="622"/>
    <x v="2"/>
    <n v="23.9"/>
    <n v="9.9"/>
    <n v="2.3660999999999999"/>
    <n v="7"/>
    <n v="162.80000000000001"/>
  </r>
  <r>
    <x v="623"/>
    <x v="23"/>
    <n v="24.8"/>
    <n v="4.7"/>
    <n v="1.1656"/>
    <n v="1"/>
    <s v=""/>
  </r>
  <r>
    <x v="624"/>
    <x v="15"/>
    <n v="16.3"/>
    <n v="0"/>
    <n v="0"/>
    <n v="2"/>
    <s v=""/>
  </r>
  <r>
    <x v="625"/>
    <x v="14"/>
    <n v="20.100000000000001"/>
    <n v="0"/>
    <n v="0"/>
    <n v="3"/>
    <s v=""/>
  </r>
  <r>
    <x v="626"/>
    <x v="18"/>
    <n v="25.9"/>
    <n v="8.9"/>
    <n v="2.3050999999999999"/>
    <n v="4"/>
    <s v=""/>
  </r>
  <r>
    <x v="627"/>
    <x v="15"/>
    <n v="27.3"/>
    <n v="15.8"/>
    <n v="4.3134000000000006"/>
    <n v="5"/>
    <s v=""/>
  </r>
  <r>
    <x v="628"/>
    <x v="2"/>
    <n v="19.100000000000001"/>
    <n v="6.3"/>
    <n v="1.2033"/>
    <n v="6"/>
    <s v=""/>
  </r>
  <r>
    <x v="629"/>
    <x v="6"/>
    <n v="16.899999999999999"/>
    <n v="0"/>
    <n v="0"/>
    <n v="7"/>
    <n v="150.4"/>
  </r>
  <r>
    <x v="630"/>
    <x v="3"/>
    <n v="13.4"/>
    <n v="20.100000000000001"/>
    <n v="2.6934000000000005"/>
    <n v="1"/>
    <s v=""/>
  </r>
  <r>
    <x v="631"/>
    <x v="20"/>
    <n v="24.8"/>
    <n v="0.4"/>
    <n v="9.920000000000001E-2"/>
    <n v="2"/>
    <s v=""/>
  </r>
  <r>
    <x v="632"/>
    <x v="13"/>
    <n v="28.4"/>
    <n v="1.6"/>
    <n v="0.45439999999999997"/>
    <n v="3"/>
    <s v=""/>
  </r>
  <r>
    <x v="633"/>
    <x v="19"/>
    <n v="25.3"/>
    <n v="1.8"/>
    <n v="0.45539999999999997"/>
    <n v="4"/>
    <s v=""/>
  </r>
  <r>
    <x v="634"/>
    <x v="14"/>
    <n v="25.9"/>
    <n v="1.6"/>
    <n v="0.41439999999999999"/>
    <n v="5"/>
    <s v=""/>
  </r>
  <r>
    <x v="635"/>
    <x v="2"/>
    <n v="12.2"/>
    <n v="0.8"/>
    <n v="9.7599999999999992E-2"/>
    <n v="6"/>
    <s v=""/>
  </r>
  <r>
    <x v="636"/>
    <x v="29"/>
    <n v="22.8"/>
    <n v="2.2999999999999998"/>
    <n v="0.52439999999999998"/>
    <n v="7"/>
    <n v="152.79999999999998"/>
  </r>
  <r>
    <x v="637"/>
    <x v="15"/>
    <n v="12.7"/>
    <n v="0"/>
    <n v="0"/>
    <n v="1"/>
    <s v=""/>
  </r>
  <r>
    <x v="638"/>
    <x v="22"/>
    <n v="13"/>
    <n v="5.0999999999999996"/>
    <n v="0.66299999999999992"/>
    <n v="2"/>
    <s v=""/>
  </r>
  <r>
    <x v="639"/>
    <x v="6"/>
    <n v="13.5"/>
    <n v="4.9000000000000004"/>
    <n v="0.66150000000000009"/>
    <n v="3"/>
    <s v=""/>
  </r>
  <r>
    <x v="640"/>
    <x v="9"/>
    <n v="17.8"/>
    <n v="5"/>
    <n v="0.89"/>
    <n v="4"/>
    <s v=""/>
  </r>
  <r>
    <x v="641"/>
    <x v="6"/>
    <n v="21.5"/>
    <n v="47.1"/>
    <n v="10.1265"/>
    <n v="5"/>
    <s v=""/>
  </r>
  <r>
    <x v="642"/>
    <x v="4"/>
    <n v="20.5"/>
    <n v="0.1"/>
    <n v="2.0500000000000004E-2"/>
    <n v="6"/>
    <s v=""/>
  </r>
  <r>
    <x v="643"/>
    <x v="9"/>
    <n v="14.4"/>
    <n v="0"/>
    <n v="0"/>
    <n v="7"/>
    <n v="113.4"/>
  </r>
  <r>
    <x v="644"/>
    <x v="11"/>
    <n v="12.3"/>
    <n v="0"/>
    <n v="0"/>
    <n v="1"/>
    <s v=""/>
  </r>
  <r>
    <x v="645"/>
    <x v="9"/>
    <n v="26.5"/>
    <n v="14"/>
    <n v="3.71"/>
    <n v="2"/>
    <s v=""/>
  </r>
  <r>
    <x v="646"/>
    <x v="9"/>
    <n v="17.7"/>
    <n v="0"/>
    <n v="0"/>
    <n v="3"/>
    <s v=""/>
  </r>
  <r>
    <x v="647"/>
    <x v="22"/>
    <n v="15.7"/>
    <n v="1"/>
    <n v="0.157"/>
    <n v="4"/>
    <s v=""/>
  </r>
  <r>
    <x v="648"/>
    <x v="16"/>
    <n v="16.2"/>
    <n v="0"/>
    <n v="0"/>
    <n v="5"/>
    <s v=""/>
  </r>
  <r>
    <x v="649"/>
    <x v="17"/>
    <n v="18.600000000000001"/>
    <n v="1.4"/>
    <n v="0.26039999999999996"/>
    <n v="6"/>
    <s v=""/>
  </r>
  <r>
    <x v="650"/>
    <x v="14"/>
    <n v="23.9"/>
    <n v="4"/>
    <n v="0.95599999999999996"/>
    <n v="7"/>
    <n v="130.9"/>
  </r>
  <r>
    <x v="651"/>
    <x v="6"/>
    <n v="15.8"/>
    <n v="50.3"/>
    <n v="7.9474"/>
    <n v="1"/>
    <s v=""/>
  </r>
  <r>
    <x v="652"/>
    <x v="8"/>
    <n v="26.2"/>
    <n v="8.5"/>
    <n v="2.2269999999999999"/>
    <n v="2"/>
    <s v=""/>
  </r>
  <r>
    <x v="653"/>
    <x v="6"/>
    <n v="23.1"/>
    <n v="0"/>
    <n v="0"/>
    <n v="3"/>
    <s v=""/>
  </r>
  <r>
    <x v="654"/>
    <x v="17"/>
    <n v="10.8"/>
    <n v="0"/>
    <n v="0"/>
    <n v="4"/>
    <s v=""/>
  </r>
  <r>
    <x v="655"/>
    <x v="14"/>
    <n v="21.2"/>
    <n v="16.100000000000001"/>
    <n v="3.4131999999999998"/>
    <n v="5"/>
    <s v=""/>
  </r>
  <r>
    <x v="656"/>
    <x v="3"/>
    <n v="26.3"/>
    <n v="21.1"/>
    <n v="5.5493000000000006"/>
    <n v="6"/>
    <s v=""/>
  </r>
  <r>
    <x v="657"/>
    <x v="3"/>
    <n v="22.8"/>
    <n v="22.7"/>
    <n v="5.1755999999999993"/>
    <n v="7"/>
    <n v="146.19999999999999"/>
  </r>
  <r>
    <x v="658"/>
    <x v="14"/>
    <n v="24"/>
    <n v="11.5"/>
    <n v="2.76"/>
    <n v="1"/>
    <s v=""/>
  </r>
  <r>
    <x v="659"/>
    <x v="10"/>
    <n v="16.8"/>
    <n v="2"/>
    <n v="0.33600000000000002"/>
    <n v="2"/>
    <s v=""/>
  </r>
  <r>
    <x v="660"/>
    <x v="9"/>
    <n v="12.5"/>
    <n v="4.7"/>
    <n v="0.58750000000000002"/>
    <n v="3"/>
    <s v=""/>
  </r>
  <r>
    <x v="661"/>
    <x v="6"/>
    <n v="15"/>
    <n v="1.7"/>
    <n v="0.255"/>
    <n v="4"/>
    <s v=""/>
  </r>
  <r>
    <x v="662"/>
    <x v="14"/>
    <n v="16.2"/>
    <n v="0"/>
    <n v="0"/>
    <n v="5"/>
    <s v=""/>
  </r>
  <r>
    <x v="663"/>
    <x v="3"/>
    <n v="29.3"/>
    <n v="0"/>
    <n v="0"/>
    <n v="6"/>
    <s v=""/>
  </r>
  <r>
    <x v="664"/>
    <x v="28"/>
    <n v="26.4"/>
    <n v="0.2"/>
    <n v="5.28E-2"/>
    <n v="7"/>
    <n v="140.19999999999999"/>
  </r>
  <r>
    <x v="665"/>
    <x v="14"/>
    <n v="23"/>
    <n v="0"/>
    <n v="0"/>
    <n v="1"/>
    <s v=""/>
  </r>
  <r>
    <x v="666"/>
    <x v="7"/>
    <n v="25.4"/>
    <n v="1.2"/>
    <n v="0.30479999999999996"/>
    <n v="2"/>
    <s v=""/>
  </r>
  <r>
    <x v="667"/>
    <x v="6"/>
    <n v="24.5"/>
    <n v="22.5"/>
    <n v="5.5125000000000002"/>
    <n v="3"/>
    <s v=""/>
  </r>
  <r>
    <x v="668"/>
    <x v="15"/>
    <n v="19"/>
    <n v="18.899999999999999"/>
    <n v="3.5909999999999997"/>
    <n v="4"/>
    <s v=""/>
  </r>
  <r>
    <x v="669"/>
    <x v="15"/>
    <n v="10"/>
    <n v="7.6"/>
    <n v="0.76"/>
    <n v="5"/>
    <s v=""/>
  </r>
  <r>
    <x v="670"/>
    <x v="6"/>
    <n v="10.4"/>
    <n v="20.6"/>
    <n v="2.1424000000000003"/>
    <n v="6"/>
    <s v=""/>
  </r>
  <r>
    <x v="671"/>
    <x v="17"/>
    <n v="10.5"/>
    <n v="0"/>
    <n v="0"/>
    <n v="7"/>
    <n v="122.80000000000001"/>
  </r>
  <r>
    <x v="672"/>
    <x v="2"/>
    <n v="12.1"/>
    <n v="8.8000000000000007"/>
    <n v="1.0648"/>
    <n v="1"/>
    <s v=""/>
  </r>
  <r>
    <x v="673"/>
    <x v="6"/>
    <n v="20.5"/>
    <n v="0"/>
    <n v="0"/>
    <n v="2"/>
    <s v=""/>
  </r>
  <r>
    <x v="674"/>
    <x v="9"/>
    <n v="13.1"/>
    <n v="0"/>
    <n v="0"/>
    <n v="3"/>
    <s v=""/>
  </r>
  <r>
    <x v="675"/>
    <x v="22"/>
    <n v="29.8"/>
    <n v="1.1000000000000001"/>
    <n v="0.32780000000000004"/>
    <n v="4"/>
    <s v=""/>
  </r>
  <r>
    <x v="676"/>
    <x v="11"/>
    <n v="17.100000000000001"/>
    <n v="5.5"/>
    <n v="0.94050000000000011"/>
    <n v="5"/>
    <s v=""/>
  </r>
  <r>
    <x v="677"/>
    <x v="10"/>
    <n v="29.1"/>
    <n v="0.4"/>
    <n v="0.1164"/>
    <n v="6"/>
    <s v=""/>
  </r>
  <r>
    <x v="678"/>
    <x v="14"/>
    <n v="10.9"/>
    <n v="0"/>
    <n v="0"/>
    <n v="7"/>
    <n v="132.6"/>
  </r>
  <r>
    <x v="679"/>
    <x v="28"/>
    <n v="27.4"/>
    <n v="0.3"/>
    <n v="8.2199999999999995E-2"/>
    <n v="1"/>
    <s v=""/>
  </r>
  <r>
    <x v="680"/>
    <x v="15"/>
    <n v="16.3"/>
    <n v="9.8000000000000007"/>
    <n v="1.5974000000000002"/>
    <n v="2"/>
    <s v=""/>
  </r>
  <r>
    <x v="681"/>
    <x v="3"/>
    <n v="14.7"/>
    <n v="0"/>
    <n v="0"/>
    <n v="3"/>
    <s v=""/>
  </r>
  <r>
    <x v="682"/>
    <x v="8"/>
    <n v="17.2"/>
    <n v="2"/>
    <n v="0.34399999999999997"/>
    <n v="4"/>
    <s v=""/>
  </r>
  <r>
    <x v="683"/>
    <x v="11"/>
    <n v="24.2"/>
    <n v="9.9"/>
    <n v="2.3957999999999999"/>
    <n v="5"/>
    <s v=""/>
  </r>
  <r>
    <x v="684"/>
    <x v="9"/>
    <n v="22.3"/>
    <n v="0"/>
    <n v="0"/>
    <n v="6"/>
    <s v=""/>
  </r>
  <r>
    <x v="685"/>
    <x v="25"/>
    <n v="26.7"/>
    <n v="0.6"/>
    <n v="0.16020000000000001"/>
    <n v="7"/>
    <n v="148.80000000000001"/>
  </r>
  <r>
    <x v="686"/>
    <x v="8"/>
    <n v="10.9"/>
    <n v="3.8"/>
    <n v="0.41420000000000001"/>
    <n v="1"/>
    <s v=""/>
  </r>
  <r>
    <x v="687"/>
    <x v="17"/>
    <n v="23.7"/>
    <n v="0"/>
    <n v="0"/>
    <n v="2"/>
    <s v=""/>
  </r>
  <r>
    <x v="688"/>
    <x v="6"/>
    <n v="16"/>
    <n v="22.3"/>
    <n v="3.5680000000000001"/>
    <n v="3"/>
    <s v=""/>
  </r>
  <r>
    <x v="689"/>
    <x v="6"/>
    <n v="19.399999999999999"/>
    <n v="41.6"/>
    <n v="8.0703999999999994"/>
    <n v="4"/>
    <s v=""/>
  </r>
  <r>
    <x v="690"/>
    <x v="7"/>
    <n v="26.7"/>
    <n v="10"/>
    <n v="2.67"/>
    <n v="5"/>
    <s v=""/>
  </r>
  <r>
    <x v="691"/>
    <x v="15"/>
    <n v="20.8"/>
    <n v="0"/>
    <n v="0"/>
    <n v="6"/>
    <s v=""/>
  </r>
  <r>
    <x v="692"/>
    <x v="6"/>
    <n v="25.6"/>
    <n v="0"/>
    <n v="0"/>
    <n v="7"/>
    <n v="143.1"/>
  </r>
  <r>
    <x v="693"/>
    <x v="14"/>
    <n v="18.3"/>
    <n v="0.5"/>
    <n v="9.1499999999999998E-2"/>
    <n v="1"/>
    <s v=""/>
  </r>
  <r>
    <x v="694"/>
    <x v="5"/>
    <n v="27.4"/>
    <n v="4.2"/>
    <n v="1.1508"/>
    <n v="2"/>
    <s v=""/>
  </r>
  <r>
    <x v="695"/>
    <x v="19"/>
    <n v="16.100000000000001"/>
    <n v="3.4"/>
    <n v="0.5474"/>
    <n v="3"/>
    <s v=""/>
  </r>
  <r>
    <x v="696"/>
    <x v="10"/>
    <n v="27.5"/>
    <n v="8"/>
    <n v="2.2000000000000002"/>
    <n v="4"/>
    <s v=""/>
  </r>
  <r>
    <x v="697"/>
    <x v="5"/>
    <n v="28.4"/>
    <n v="10.199999999999999"/>
    <n v="2.8967999999999994"/>
    <n v="5"/>
    <s v=""/>
  </r>
  <r>
    <x v="698"/>
    <x v="9"/>
    <n v="16.100000000000001"/>
    <n v="4"/>
    <n v="0.64400000000000002"/>
    <n v="6"/>
    <s v=""/>
  </r>
  <r>
    <x v="699"/>
    <x v="19"/>
    <n v="28.4"/>
    <n v="2.6"/>
    <n v="0.73840000000000006"/>
    <n v="7"/>
    <n v="162.20000000000002"/>
  </r>
  <r>
    <x v="700"/>
    <x v="10"/>
    <n v="29.3"/>
    <n v="0"/>
    <n v="0"/>
    <n v="1"/>
    <s v=""/>
  </r>
  <r>
    <x v="701"/>
    <x v="9"/>
    <n v="19.7"/>
    <n v="16.2"/>
    <n v="3.1913999999999998"/>
    <n v="2"/>
    <s v=""/>
  </r>
  <r>
    <x v="702"/>
    <x v="27"/>
    <n v="11.5"/>
    <n v="0.3"/>
    <n v="3.4499999999999996E-2"/>
    <n v="3"/>
    <s v=""/>
  </r>
  <r>
    <x v="703"/>
    <x v="15"/>
    <n v="19.5"/>
    <n v="0"/>
    <n v="0"/>
    <n v="4"/>
    <s v=""/>
  </r>
  <r>
    <x v="704"/>
    <x v="16"/>
    <n v="22.7"/>
    <n v="0.7"/>
    <n v="0.15889999999999999"/>
    <n v="5"/>
    <s v=""/>
  </r>
  <r>
    <x v="705"/>
    <x v="3"/>
    <n v="19.7"/>
    <n v="7.3"/>
    <n v="1.4380999999999999"/>
    <n v="6"/>
    <s v=""/>
  </r>
  <r>
    <x v="706"/>
    <x v="22"/>
    <n v="19.399999999999999"/>
    <n v="0.4"/>
    <n v="7.7600000000000002E-2"/>
    <n v="7"/>
    <n v="141.80000000000001"/>
  </r>
  <r>
    <x v="707"/>
    <x v="19"/>
    <n v="13.8"/>
    <n v="1.1000000000000001"/>
    <n v="0.15180000000000002"/>
    <n v="1"/>
    <s v=""/>
  </r>
  <r>
    <x v="708"/>
    <x v="9"/>
    <n v="19.600000000000001"/>
    <n v="2.2999999999999998"/>
    <n v="0.45079999999999998"/>
    <n v="2"/>
    <s v=""/>
  </r>
  <r>
    <x v="709"/>
    <x v="15"/>
    <n v="22.6"/>
    <n v="13.3"/>
    <n v="3.0058000000000002"/>
    <n v="3"/>
    <s v=""/>
  </r>
  <r>
    <x v="710"/>
    <x v="2"/>
    <n v="18.2"/>
    <n v="7.6"/>
    <n v="1.3832"/>
    <n v="4"/>
    <s v=""/>
  </r>
  <r>
    <x v="711"/>
    <x v="15"/>
    <n v="27.3"/>
    <n v="38.4"/>
    <n v="10.4832"/>
    <n v="5"/>
    <s v=""/>
  </r>
  <r>
    <x v="712"/>
    <x v="15"/>
    <n v="14.7"/>
    <n v="31.8"/>
    <n v="4.6745999999999999"/>
    <n v="6"/>
    <s v=""/>
  </r>
  <r>
    <x v="713"/>
    <x v="18"/>
    <n v="20.6"/>
    <n v="5.9"/>
    <n v="1.2154000000000003"/>
    <n v="7"/>
    <n v="136.80000000000001"/>
  </r>
  <r>
    <x v="714"/>
    <x v="6"/>
    <n v="12.6"/>
    <n v="14.4"/>
    <n v="1.8144"/>
    <n v="1"/>
    <s v=""/>
  </r>
  <r>
    <x v="715"/>
    <x v="7"/>
    <n v="14.5"/>
    <n v="0"/>
    <n v="0"/>
    <n v="2"/>
    <s v=""/>
  </r>
  <r>
    <x v="716"/>
    <x v="6"/>
    <n v="24.7"/>
    <n v="36"/>
    <n v="8.8919999999999995"/>
    <n v="3"/>
    <s v=""/>
  </r>
  <r>
    <x v="717"/>
    <x v="15"/>
    <n v="17.899999999999999"/>
    <n v="24.9"/>
    <n v="4.4570999999999996"/>
    <n v="4"/>
    <s v=""/>
  </r>
  <r>
    <x v="718"/>
    <x v="10"/>
    <n v="20.2"/>
    <n v="2.9"/>
    <n v="0.58579999999999999"/>
    <n v="5"/>
    <s v=""/>
  </r>
  <r>
    <x v="719"/>
    <x v="4"/>
    <n v="13.4"/>
    <n v="1.7"/>
    <n v="0.2278"/>
    <n v="6"/>
    <s v=""/>
  </r>
  <r>
    <x v="720"/>
    <x v="13"/>
    <n v="12.2"/>
    <n v="6"/>
    <n v="0.73199999999999987"/>
    <n v="7"/>
    <n v="115.5"/>
  </r>
  <r>
    <x v="721"/>
    <x v="26"/>
    <n v="29.8"/>
    <n v="0.4"/>
    <n v="0.11920000000000001"/>
    <n v="1"/>
    <s v=""/>
  </r>
  <r>
    <x v="722"/>
    <x v="15"/>
    <n v="16.100000000000001"/>
    <n v="28.7"/>
    <n v="4.6207000000000003"/>
    <n v="2"/>
    <s v=""/>
  </r>
  <r>
    <x v="723"/>
    <x v="6"/>
    <n v="18.8"/>
    <n v="0"/>
    <n v="0"/>
    <n v="3"/>
    <s v=""/>
  </r>
  <r>
    <x v="724"/>
    <x v="11"/>
    <n v="17.100000000000001"/>
    <n v="0"/>
    <n v="0"/>
    <n v="4"/>
    <s v=""/>
  </r>
  <r>
    <x v="725"/>
    <x v="5"/>
    <n v="11.7"/>
    <n v="7.7"/>
    <n v="0.90090000000000003"/>
    <n v="5"/>
    <s v=""/>
  </r>
  <r>
    <x v="726"/>
    <x v="14"/>
    <n v="25.4"/>
    <n v="14.2"/>
    <n v="3.6067999999999993"/>
    <n v="6"/>
    <s v=""/>
  </r>
  <r>
    <x v="727"/>
    <x v="18"/>
    <n v="12.6"/>
    <n v="9"/>
    <n v="1.1339999999999999"/>
    <n v="7"/>
    <n v="131.5"/>
  </r>
  <r>
    <x v="728"/>
    <x v="6"/>
    <n v="15.8"/>
    <n v="0"/>
    <n v="0"/>
    <n v="1"/>
    <s v=""/>
  </r>
  <r>
    <x v="729"/>
    <x v="14"/>
    <n v="24.7"/>
    <n v="13.9"/>
    <n v="3.4333"/>
    <n v="2"/>
    <s v=""/>
  </r>
  <r>
    <x v="730"/>
    <x v="23"/>
    <n v="26.7"/>
    <n v="0"/>
    <n v="0"/>
    <n v="3"/>
    <s v=""/>
  </r>
  <r>
    <x v="731"/>
    <x v="15"/>
    <n v="21.2"/>
    <n v="5.3"/>
    <n v="1.1235999999999999"/>
    <n v="4"/>
    <s v=""/>
  </r>
  <r>
    <x v="732"/>
    <x v="2"/>
    <n v="10.4"/>
    <n v="8.6"/>
    <n v="0.89439999999999997"/>
    <n v="5"/>
    <s v=""/>
  </r>
  <r>
    <x v="733"/>
    <x v="22"/>
    <n v="25.1"/>
    <n v="3.3"/>
    <n v="0.82830000000000004"/>
    <n v="6"/>
    <s v=""/>
  </r>
  <r>
    <x v="734"/>
    <x v="15"/>
    <n v="27.8"/>
    <n v="20.9"/>
    <n v="5.8102"/>
    <n v="7"/>
    <n v="151.70000000000002"/>
  </r>
  <r>
    <x v="735"/>
    <x v="7"/>
    <n v="26.1"/>
    <n v="0"/>
    <n v="0"/>
    <n v="1"/>
    <s v=""/>
  </r>
  <r>
    <x v="736"/>
    <x v="9"/>
    <n v="18.3"/>
    <n v="7.8"/>
    <n v="1.4274"/>
    <n v="2"/>
    <s v=""/>
  </r>
  <r>
    <x v="737"/>
    <x v="7"/>
    <n v="16.3"/>
    <n v="0"/>
    <n v="0"/>
    <n v="3"/>
    <s v=""/>
  </r>
  <r>
    <x v="738"/>
    <x v="7"/>
    <n v="17.2"/>
    <n v="12.5"/>
    <n v="2.15"/>
    <n v="4"/>
    <s v=""/>
  </r>
  <r>
    <x v="739"/>
    <x v="20"/>
    <n v="22.1"/>
    <n v="3.7"/>
    <n v="0.81770000000000009"/>
    <n v="5"/>
    <s v=""/>
  </r>
  <r>
    <x v="740"/>
    <x v="19"/>
    <n v="18.8"/>
    <n v="0"/>
    <n v="0"/>
    <n v="6"/>
    <s v=""/>
  </r>
  <r>
    <x v="741"/>
    <x v="14"/>
    <n v="12.3"/>
    <n v="7.1"/>
    <n v="0.87329999999999997"/>
    <n v="7"/>
    <n v="131.1"/>
  </r>
  <r>
    <x v="742"/>
    <x v="6"/>
    <n v="27.5"/>
    <n v="34.299999999999997"/>
    <n v="9.4324999999999992"/>
    <n v="1"/>
    <s v=""/>
  </r>
  <r>
    <x v="743"/>
    <x v="14"/>
    <n v="23.1"/>
    <n v="0"/>
    <n v="0"/>
    <n v="2"/>
    <s v=""/>
  </r>
  <r>
    <x v="744"/>
    <x v="7"/>
    <n v="21.3"/>
    <n v="0"/>
    <n v="0"/>
    <n v="3"/>
    <s v=""/>
  </r>
  <r>
    <x v="745"/>
    <x v="22"/>
    <n v="13.8"/>
    <n v="5.9"/>
    <n v="0.81420000000000015"/>
    <n v="4"/>
    <s v=""/>
  </r>
  <r>
    <x v="746"/>
    <x v="9"/>
    <n v="20"/>
    <n v="16"/>
    <n v="3.2"/>
    <n v="5"/>
    <s v=""/>
  </r>
  <r>
    <x v="747"/>
    <x v="8"/>
    <n v="23.9"/>
    <n v="0"/>
    <n v="0"/>
    <n v="6"/>
    <s v=""/>
  </r>
  <r>
    <x v="748"/>
    <x v="25"/>
    <n v="15.3"/>
    <n v="0.1"/>
    <n v="1.5300000000000003E-2"/>
    <n v="7"/>
    <n v="144.9"/>
  </r>
  <r>
    <x v="749"/>
    <x v="10"/>
    <n v="16.600000000000001"/>
    <n v="0"/>
    <n v="0"/>
    <n v="1"/>
    <s v=""/>
  </r>
  <r>
    <x v="750"/>
    <x v="23"/>
    <n v="20.8"/>
    <n v="2"/>
    <n v="0.41600000000000004"/>
    <n v="2"/>
    <s v=""/>
  </r>
  <r>
    <x v="751"/>
    <x v="7"/>
    <n v="10.8"/>
    <n v="12.3"/>
    <n v="1.3284"/>
    <n v="3"/>
    <s v=""/>
  </r>
  <r>
    <x v="752"/>
    <x v="7"/>
    <n v="12.5"/>
    <n v="18.399999999999999"/>
    <n v="2.2999999999999998"/>
    <n v="4"/>
    <s v=""/>
  </r>
  <r>
    <x v="753"/>
    <x v="5"/>
    <n v="24"/>
    <n v="4.9000000000000004"/>
    <n v="1.1760000000000002"/>
    <n v="5"/>
    <s v=""/>
  </r>
  <r>
    <x v="754"/>
    <x v="6"/>
    <n v="21.4"/>
    <n v="11.1"/>
    <n v="2.3753999999999995"/>
    <n v="6"/>
    <s v=""/>
  </r>
  <r>
    <x v="755"/>
    <x v="18"/>
    <n v="18.3"/>
    <n v="0"/>
    <n v="0"/>
    <n v="7"/>
    <n v="124.39999999999999"/>
  </r>
  <r>
    <x v="756"/>
    <x v="11"/>
    <n v="10.5"/>
    <n v="3.9"/>
    <n v="0.40949999999999998"/>
    <n v="1"/>
    <s v=""/>
  </r>
  <r>
    <x v="757"/>
    <x v="6"/>
    <n v="11.7"/>
    <n v="0"/>
    <n v="0"/>
    <n v="2"/>
    <s v=""/>
  </r>
  <r>
    <x v="758"/>
    <x v="3"/>
    <n v="26.8"/>
    <n v="0"/>
    <n v="0"/>
    <n v="3"/>
    <s v=""/>
  </r>
  <r>
    <x v="759"/>
    <x v="6"/>
    <n v="22.1"/>
    <n v="33.799999999999997"/>
    <n v="7.4698000000000002"/>
    <n v="4"/>
    <s v=""/>
  </r>
  <r>
    <x v="760"/>
    <x v="28"/>
    <n v="17.100000000000001"/>
    <n v="0"/>
    <n v="0"/>
    <n v="5"/>
    <s v=""/>
  </r>
  <r>
    <x v="761"/>
    <x v="9"/>
    <n v="12.1"/>
    <n v="14.4"/>
    <n v="1.7424000000000002"/>
    <n v="6"/>
    <s v=""/>
  </r>
  <r>
    <x v="762"/>
    <x v="15"/>
    <n v="28.6"/>
    <n v="23.2"/>
    <n v="6.6352000000000002"/>
    <n v="7"/>
    <n v="128.89999999999998"/>
  </r>
  <r>
    <x v="763"/>
    <x v="2"/>
    <n v="21.2"/>
    <n v="1.5"/>
    <n v="0.31799999999999995"/>
    <n v="1"/>
    <s v=""/>
  </r>
  <r>
    <x v="764"/>
    <x v="5"/>
    <n v="17.2"/>
    <n v="2.4"/>
    <n v="0.41279999999999994"/>
    <n v="2"/>
    <s v=""/>
  </r>
  <r>
    <x v="765"/>
    <x v="6"/>
    <n v="22.3"/>
    <n v="0"/>
    <n v="0"/>
    <n v="3"/>
    <s v=""/>
  </r>
  <r>
    <x v="766"/>
    <x v="11"/>
    <n v="13.2"/>
    <n v="3.6"/>
    <n v="0.47519999999999996"/>
    <n v="4"/>
    <s v=""/>
  </r>
  <r>
    <x v="767"/>
    <x v="14"/>
    <n v="13.6"/>
    <n v="13.4"/>
    <n v="1.8224"/>
    <n v="5"/>
    <s v=""/>
  </r>
  <r>
    <x v="768"/>
    <x v="8"/>
    <n v="15.7"/>
    <n v="0"/>
    <n v="0"/>
    <n v="6"/>
    <s v=""/>
  </r>
  <r>
    <x v="769"/>
    <x v="5"/>
    <n v="24.8"/>
    <n v="0"/>
    <n v="0"/>
    <n v="7"/>
    <n v="128"/>
  </r>
  <r>
    <x v="770"/>
    <x v="6"/>
    <n v="25.1"/>
    <n v="5.0999999999999996"/>
    <n v="1.2801"/>
    <n v="1"/>
    <s v=""/>
  </r>
  <r>
    <x v="771"/>
    <x v="15"/>
    <n v="14.2"/>
    <n v="23.5"/>
    <n v="3.3369999999999997"/>
    <n v="2"/>
    <s v=""/>
  </r>
  <r>
    <x v="772"/>
    <x v="10"/>
    <n v="21.1"/>
    <n v="1.4"/>
    <n v="0.2954"/>
    <n v="3"/>
    <s v=""/>
  </r>
  <r>
    <x v="773"/>
    <x v="6"/>
    <n v="25.4"/>
    <n v="28"/>
    <n v="7.1119999999999992"/>
    <n v="4"/>
    <s v=""/>
  </r>
  <r>
    <x v="774"/>
    <x v="6"/>
    <n v="24.7"/>
    <n v="5.7"/>
    <n v="1.4078999999999999"/>
    <n v="5"/>
    <s v=""/>
  </r>
  <r>
    <x v="775"/>
    <x v="9"/>
    <n v="19.8"/>
    <n v="0"/>
    <n v="0"/>
    <n v="6"/>
    <s v=""/>
  </r>
  <r>
    <x v="776"/>
    <x v="23"/>
    <n v="28.4"/>
    <n v="2.9"/>
    <n v="0.8236"/>
    <n v="7"/>
    <n v="158.70000000000002"/>
  </r>
  <r>
    <x v="777"/>
    <x v="7"/>
    <n v="26.5"/>
    <n v="0"/>
    <n v="0"/>
    <n v="1"/>
    <s v=""/>
  </r>
  <r>
    <x v="778"/>
    <x v="6"/>
    <n v="14.1"/>
    <n v="13.1"/>
    <n v="1.8470999999999997"/>
    <n v="2"/>
    <s v=""/>
  </r>
  <r>
    <x v="779"/>
    <x v="24"/>
    <n v="15.9"/>
    <n v="0.5"/>
    <n v="7.9500000000000001E-2"/>
    <n v="3"/>
    <s v=""/>
  </r>
  <r>
    <x v="780"/>
    <x v="15"/>
    <n v="28.2"/>
    <n v="26.9"/>
    <n v="7.585799999999999"/>
    <n v="4"/>
    <s v=""/>
  </r>
  <r>
    <x v="781"/>
    <x v="24"/>
    <n v="17.100000000000001"/>
    <n v="0.5"/>
    <n v="8.5500000000000007E-2"/>
    <n v="5"/>
    <s v=""/>
  </r>
  <r>
    <x v="782"/>
    <x v="15"/>
    <n v="27"/>
    <n v="0"/>
    <n v="0"/>
    <n v="6"/>
    <s v=""/>
  </r>
  <r>
    <x v="783"/>
    <x v="14"/>
    <n v="24.1"/>
    <n v="0"/>
    <n v="0"/>
    <n v="7"/>
    <n v="152.9"/>
  </r>
  <r>
    <x v="784"/>
    <x v="8"/>
    <n v="10.4"/>
    <n v="7.2"/>
    <n v="0.74880000000000013"/>
    <n v="1"/>
    <s v=""/>
  </r>
  <r>
    <x v="785"/>
    <x v="9"/>
    <n v="27.2"/>
    <n v="15.1"/>
    <n v="4.1071999999999997"/>
    <n v="2"/>
    <s v=""/>
  </r>
  <r>
    <x v="786"/>
    <x v="18"/>
    <n v="22.1"/>
    <n v="0"/>
    <n v="0"/>
    <n v="3"/>
    <s v=""/>
  </r>
  <r>
    <x v="787"/>
    <x v="10"/>
    <n v="13.3"/>
    <n v="8.5"/>
    <n v="1.1305000000000001"/>
    <n v="4"/>
    <s v=""/>
  </r>
  <r>
    <x v="788"/>
    <x v="8"/>
    <n v="26.4"/>
    <n v="0"/>
    <n v="0"/>
    <n v="5"/>
    <s v=""/>
  </r>
  <r>
    <x v="789"/>
    <x v="21"/>
    <n v="25.8"/>
    <n v="2.9"/>
    <n v="0.74819999999999998"/>
    <n v="6"/>
    <s v=""/>
  </r>
  <r>
    <x v="790"/>
    <x v="11"/>
    <n v="23"/>
    <n v="3.8"/>
    <n v="0.87399999999999989"/>
    <n v="7"/>
    <n v="148.19999999999999"/>
  </r>
  <r>
    <x v="791"/>
    <x v="9"/>
    <n v="22.7"/>
    <n v="0"/>
    <n v="0"/>
    <n v="1"/>
    <s v=""/>
  </r>
  <r>
    <x v="792"/>
    <x v="22"/>
    <n v="26.2"/>
    <n v="5.0999999999999996"/>
    <n v="1.3361999999999998"/>
    <n v="2"/>
    <s v=""/>
  </r>
  <r>
    <x v="793"/>
    <x v="10"/>
    <n v="16.600000000000001"/>
    <n v="0"/>
    <n v="0"/>
    <n v="3"/>
    <s v=""/>
  </r>
  <r>
    <x v="794"/>
    <x v="19"/>
    <n v="23.9"/>
    <n v="0"/>
    <n v="0"/>
    <n v="4"/>
    <s v=""/>
  </r>
  <r>
    <x v="795"/>
    <x v="3"/>
    <n v="10.6"/>
    <n v="21.3"/>
    <n v="2.2578"/>
    <n v="5"/>
    <s v=""/>
  </r>
  <r>
    <x v="796"/>
    <x v="6"/>
    <n v="22.8"/>
    <n v="24.6"/>
    <n v="5.6087999999999996"/>
    <n v="6"/>
    <s v=""/>
  </r>
  <r>
    <x v="797"/>
    <x v="1"/>
    <n v="26.8"/>
    <n v="7.5"/>
    <n v="2.0099999999999998"/>
    <n v="7"/>
    <n v="149.6"/>
  </r>
  <r>
    <x v="798"/>
    <x v="15"/>
    <n v="21.3"/>
    <n v="37.700000000000003"/>
    <n v="8.0301000000000009"/>
    <n v="1"/>
    <s v=""/>
  </r>
  <r>
    <x v="799"/>
    <x v="8"/>
    <n v="20.3"/>
    <n v="11"/>
    <n v="2.2330000000000001"/>
    <n v="2"/>
    <s v=""/>
  </r>
  <r>
    <x v="800"/>
    <x v="15"/>
    <n v="25.6"/>
    <n v="20.100000000000001"/>
    <n v="5.1456000000000008"/>
    <n v="3"/>
    <s v=""/>
  </r>
  <r>
    <x v="801"/>
    <x v="9"/>
    <n v="25.1"/>
    <n v="14.7"/>
    <n v="3.6897000000000002"/>
    <n v="4"/>
    <s v=""/>
  </r>
  <r>
    <x v="802"/>
    <x v="3"/>
    <n v="24.3"/>
    <n v="24.3"/>
    <n v="5.9049000000000005"/>
    <n v="5"/>
    <s v=""/>
  </r>
  <r>
    <x v="803"/>
    <x v="10"/>
    <n v="12.9"/>
    <n v="2.7"/>
    <n v="0.34830000000000005"/>
    <n v="6"/>
    <s v=""/>
  </r>
  <r>
    <x v="804"/>
    <x v="15"/>
    <n v="16.7"/>
    <n v="27.7"/>
    <n v="4.6258999999999997"/>
    <n v="7"/>
    <n v="146.19999999999999"/>
  </r>
  <r>
    <x v="805"/>
    <x v="6"/>
    <n v="16.2"/>
    <n v="20.5"/>
    <n v="3.3209999999999997"/>
    <n v="1"/>
    <s v=""/>
  </r>
  <r>
    <x v="806"/>
    <x v="8"/>
    <n v="19.5"/>
    <n v="5.0999999999999996"/>
    <n v="0.99449999999999994"/>
    <n v="2"/>
    <s v=""/>
  </r>
  <r>
    <x v="807"/>
    <x v="6"/>
    <n v="22.9"/>
    <n v="6.6"/>
    <n v="1.5113999999999999"/>
    <n v="3"/>
    <s v=""/>
  </r>
  <r>
    <x v="808"/>
    <x v="15"/>
    <n v="25.9"/>
    <n v="4.4000000000000004"/>
    <n v="1.1396000000000002"/>
    <n v="4"/>
    <s v=""/>
  </r>
  <r>
    <x v="809"/>
    <x v="14"/>
    <n v="20.3"/>
    <n v="4.5999999999999996"/>
    <n v="0.93379999999999996"/>
    <n v="5"/>
    <s v=""/>
  </r>
  <r>
    <x v="810"/>
    <x v="24"/>
    <n v="11.3"/>
    <n v="0.3"/>
    <n v="3.39E-2"/>
    <n v="6"/>
    <s v=""/>
  </r>
  <r>
    <x v="811"/>
    <x v="6"/>
    <n v="27.4"/>
    <n v="29.9"/>
    <n v="8.1925999999999988"/>
    <n v="7"/>
    <n v="143.5"/>
  </r>
  <r>
    <x v="812"/>
    <x v="15"/>
    <n v="29.2"/>
    <n v="0"/>
    <n v="0"/>
    <n v="1"/>
    <s v=""/>
  </r>
  <r>
    <x v="813"/>
    <x v="0"/>
    <n v="27.4"/>
    <n v="0"/>
    <n v="0"/>
    <n v="2"/>
    <s v=""/>
  </r>
  <r>
    <x v="814"/>
    <x v="15"/>
    <n v="10.1"/>
    <n v="8.1"/>
    <n v="0.81809999999999983"/>
    <n v="3"/>
    <s v=""/>
  </r>
  <r>
    <x v="815"/>
    <x v="1"/>
    <n v="12.9"/>
    <n v="5.9"/>
    <n v="0.76110000000000011"/>
    <n v="4"/>
    <s v=""/>
  </r>
  <r>
    <x v="816"/>
    <x v="10"/>
    <n v="18.7"/>
    <n v="0"/>
    <n v="0"/>
    <n v="5"/>
    <s v=""/>
  </r>
  <r>
    <x v="817"/>
    <x v="28"/>
    <n v="17.8"/>
    <n v="0.3"/>
    <n v="5.3399999999999996E-2"/>
    <n v="6"/>
    <s v=""/>
  </r>
  <r>
    <x v="818"/>
    <x v="6"/>
    <n v="24.7"/>
    <n v="42.9"/>
    <n v="10.596299999999999"/>
    <n v="7"/>
    <n v="140.79999999999998"/>
  </r>
  <r>
    <x v="819"/>
    <x v="6"/>
    <n v="28.7"/>
    <n v="33.799999999999997"/>
    <n v="9.7005999999999997"/>
    <n v="1"/>
    <s v=""/>
  </r>
  <r>
    <x v="820"/>
    <x v="14"/>
    <n v="12.3"/>
    <n v="1.7"/>
    <n v="0.20910000000000001"/>
    <n v="2"/>
    <s v=""/>
  </r>
  <r>
    <x v="821"/>
    <x v="15"/>
    <n v="22.9"/>
    <n v="0"/>
    <n v="0"/>
    <n v="3"/>
    <s v=""/>
  </r>
  <r>
    <x v="822"/>
    <x v="13"/>
    <n v="20"/>
    <n v="3"/>
    <n v="0.6"/>
    <n v="4"/>
    <s v=""/>
  </r>
  <r>
    <x v="823"/>
    <x v="6"/>
    <n v="27.3"/>
    <n v="0"/>
    <n v="0"/>
    <n v="5"/>
    <s v=""/>
  </r>
  <r>
    <x v="824"/>
    <x v="9"/>
    <n v="29.9"/>
    <n v="7.7"/>
    <n v="2.3022999999999998"/>
    <n v="6"/>
    <s v=""/>
  </r>
  <r>
    <x v="825"/>
    <x v="8"/>
    <n v="27.5"/>
    <n v="2.7"/>
    <n v="0.74250000000000005"/>
    <n v="7"/>
    <n v="168.6"/>
  </r>
  <r>
    <x v="826"/>
    <x v="14"/>
    <n v="16.5"/>
    <n v="13.3"/>
    <n v="2.1945000000000001"/>
    <n v="1"/>
    <s v=""/>
  </r>
  <r>
    <x v="827"/>
    <x v="1"/>
    <n v="23.5"/>
    <n v="5.9"/>
    <n v="1.3865000000000001"/>
    <n v="2"/>
    <s v=""/>
  </r>
  <r>
    <x v="828"/>
    <x v="1"/>
    <n v="21.5"/>
    <n v="4.0999999999999996"/>
    <n v="0.88149999999999995"/>
    <n v="3"/>
    <s v=""/>
  </r>
  <r>
    <x v="829"/>
    <x v="11"/>
    <n v="10.3"/>
    <n v="15.6"/>
    <n v="1.6068"/>
    <n v="4"/>
    <s v=""/>
  </r>
  <r>
    <x v="830"/>
    <x v="6"/>
    <n v="15"/>
    <n v="0"/>
    <n v="0"/>
    <n v="5"/>
    <s v=""/>
  </r>
  <r>
    <x v="831"/>
    <x v="2"/>
    <n v="23.3"/>
    <n v="5.3"/>
    <n v="1.2348999999999999"/>
    <n v="6"/>
    <s v=""/>
  </r>
  <r>
    <x v="832"/>
    <x v="11"/>
    <n v="10.5"/>
    <n v="14.4"/>
    <n v="1.5120000000000002"/>
    <n v="7"/>
    <n v="120.6"/>
  </r>
  <r>
    <x v="833"/>
    <x v="6"/>
    <n v="18.5"/>
    <n v="0"/>
    <n v="0"/>
    <n v="1"/>
    <s v=""/>
  </r>
  <r>
    <x v="834"/>
    <x v="10"/>
    <n v="20.2"/>
    <n v="5.4"/>
    <n v="1.0908"/>
    <n v="2"/>
    <s v=""/>
  </r>
  <r>
    <x v="835"/>
    <x v="19"/>
    <n v="29"/>
    <n v="4.2"/>
    <n v="1.2180000000000002"/>
    <n v="3"/>
    <s v=""/>
  </r>
  <r>
    <x v="836"/>
    <x v="11"/>
    <n v="12.1"/>
    <n v="18.100000000000001"/>
    <n v="2.1901000000000002"/>
    <n v="4"/>
    <s v=""/>
  </r>
  <r>
    <x v="837"/>
    <x v="9"/>
    <n v="14.1"/>
    <n v="5.6"/>
    <n v="0.78959999999999997"/>
    <n v="5"/>
    <s v=""/>
  </r>
  <r>
    <x v="838"/>
    <x v="6"/>
    <n v="19.5"/>
    <n v="2.7"/>
    <n v="0.52650000000000008"/>
    <n v="6"/>
    <s v=""/>
  </r>
  <r>
    <x v="839"/>
    <x v="23"/>
    <n v="28.7"/>
    <n v="0.3"/>
    <n v="8.6099999999999996E-2"/>
    <n v="7"/>
    <n v="142.1"/>
  </r>
  <r>
    <x v="840"/>
    <x v="15"/>
    <n v="20.3"/>
    <n v="15"/>
    <n v="3.0449999999999999"/>
    <n v="1"/>
    <s v=""/>
  </r>
  <r>
    <x v="841"/>
    <x v="3"/>
    <n v="25.9"/>
    <n v="4.7"/>
    <n v="1.2173"/>
    <n v="2"/>
    <s v=""/>
  </r>
  <r>
    <x v="842"/>
    <x v="3"/>
    <n v="25.3"/>
    <n v="0"/>
    <n v="0"/>
    <n v="3"/>
    <s v=""/>
  </r>
  <r>
    <x v="843"/>
    <x v="16"/>
    <n v="22.8"/>
    <n v="0.6"/>
    <n v="0.1368"/>
    <n v="4"/>
    <s v=""/>
  </r>
  <r>
    <x v="844"/>
    <x v="18"/>
    <n v="28.4"/>
    <n v="2.2999999999999998"/>
    <n v="0.65319999999999989"/>
    <n v="5"/>
    <s v=""/>
  </r>
  <r>
    <x v="845"/>
    <x v="18"/>
    <n v="29.7"/>
    <n v="0"/>
    <n v="0"/>
    <n v="6"/>
    <s v=""/>
  </r>
  <r>
    <x v="846"/>
    <x v="11"/>
    <n v="11.7"/>
    <n v="6.4"/>
    <n v="0.74879999999999991"/>
    <n v="7"/>
    <n v="164.09999999999997"/>
  </r>
  <r>
    <x v="847"/>
    <x v="18"/>
    <n v="12.8"/>
    <n v="6.9"/>
    <n v="0.8832000000000001"/>
    <n v="1"/>
    <s v=""/>
  </r>
  <r>
    <x v="848"/>
    <x v="6"/>
    <n v="11"/>
    <n v="0"/>
    <n v="0"/>
    <n v="2"/>
    <s v=""/>
  </r>
  <r>
    <x v="849"/>
    <x v="29"/>
    <n v="14.7"/>
    <n v="0.5"/>
    <n v="7.3499999999999996E-2"/>
    <n v="3"/>
    <s v=""/>
  </r>
  <r>
    <x v="850"/>
    <x v="22"/>
    <n v="13.2"/>
    <n v="2.5"/>
    <n v="0.33"/>
    <n v="4"/>
    <s v=""/>
  </r>
  <r>
    <x v="851"/>
    <x v="22"/>
    <n v="28"/>
    <n v="3.8"/>
    <n v="1.0639999999999998"/>
    <n v="5"/>
    <s v=""/>
  </r>
  <r>
    <x v="852"/>
    <x v="7"/>
    <n v="27.5"/>
    <n v="10.3"/>
    <n v="2.8325"/>
    <n v="6"/>
    <s v=""/>
  </r>
  <r>
    <x v="853"/>
    <x v="22"/>
    <n v="12.1"/>
    <n v="4.7"/>
    <n v="0.56869999999999998"/>
    <n v="7"/>
    <n v="119.3"/>
  </r>
  <r>
    <x v="854"/>
    <x v="11"/>
    <n v="24.7"/>
    <n v="7.2"/>
    <n v="1.7784"/>
    <n v="1"/>
    <s v=""/>
  </r>
  <r>
    <x v="855"/>
    <x v="21"/>
    <n v="27.1"/>
    <n v="2.6"/>
    <n v="0.70460000000000012"/>
    <n v="2"/>
    <s v=""/>
  </r>
  <r>
    <x v="856"/>
    <x v="3"/>
    <n v="28.7"/>
    <n v="3"/>
    <n v="0.86099999999999999"/>
    <n v="3"/>
    <s v=""/>
  </r>
  <r>
    <x v="857"/>
    <x v="6"/>
    <n v="15"/>
    <n v="21.4"/>
    <n v="3.21"/>
    <n v="4"/>
    <s v=""/>
  </r>
  <r>
    <x v="858"/>
    <x v="7"/>
    <n v="11.6"/>
    <n v="3.7"/>
    <n v="0.42920000000000003"/>
    <n v="5"/>
    <s v=""/>
  </r>
  <r>
    <x v="859"/>
    <x v="6"/>
    <n v="13.1"/>
    <n v="0"/>
    <n v="0"/>
    <n v="6"/>
    <s v=""/>
  </r>
  <r>
    <x v="860"/>
    <x v="22"/>
    <n v="25.5"/>
    <n v="0"/>
    <n v="0"/>
    <n v="7"/>
    <n v="145.69999999999999"/>
  </r>
  <r>
    <x v="861"/>
    <x v="24"/>
    <n v="19.399999999999999"/>
    <n v="0.7"/>
    <n v="0.13579999999999998"/>
    <n v="1"/>
    <s v=""/>
  </r>
  <r>
    <x v="862"/>
    <x v="3"/>
    <n v="27.3"/>
    <n v="2.6"/>
    <n v="0.70979999999999999"/>
    <n v="2"/>
    <s v=""/>
  </r>
  <r>
    <x v="863"/>
    <x v="6"/>
    <n v="21"/>
    <n v="27.8"/>
    <n v="5.838000000000001"/>
    <n v="3"/>
    <s v=""/>
  </r>
  <r>
    <x v="864"/>
    <x v="10"/>
    <n v="11.5"/>
    <n v="0"/>
    <n v="0"/>
    <n v="4"/>
    <s v=""/>
  </r>
  <r>
    <x v="865"/>
    <x v="17"/>
    <n v="13.6"/>
    <n v="2.7"/>
    <n v="0.36719999999999997"/>
    <n v="5"/>
    <s v=""/>
  </r>
  <r>
    <x v="866"/>
    <x v="4"/>
    <n v="17.8"/>
    <n v="0.3"/>
    <n v="5.3399999999999996E-2"/>
    <n v="6"/>
    <s v=""/>
  </r>
  <r>
    <x v="867"/>
    <x v="4"/>
    <n v="10.8"/>
    <n v="0"/>
    <n v="0"/>
    <n v="7"/>
    <n v="121.39999999999999"/>
  </r>
  <r>
    <x v="868"/>
    <x v="6"/>
    <n v="23"/>
    <n v="3.3"/>
    <n v="0.7589999999999999"/>
    <n v="1"/>
    <s v=""/>
  </r>
  <r>
    <x v="869"/>
    <x v="7"/>
    <n v="14"/>
    <n v="18.100000000000001"/>
    <n v="2.5340000000000003"/>
    <n v="2"/>
    <s v=""/>
  </r>
  <r>
    <x v="870"/>
    <x v="22"/>
    <n v="10.7"/>
    <n v="0.4"/>
    <n v="4.2800000000000005E-2"/>
    <n v="3"/>
    <s v=""/>
  </r>
  <r>
    <x v="871"/>
    <x v="9"/>
    <n v="24.7"/>
    <n v="9.1"/>
    <n v="2.2477"/>
    <n v="4"/>
    <s v=""/>
  </r>
  <r>
    <x v="872"/>
    <x v="15"/>
    <n v="12.2"/>
    <n v="18.600000000000001"/>
    <n v="2.2692000000000001"/>
    <n v="5"/>
    <s v=""/>
  </r>
  <r>
    <x v="873"/>
    <x v="2"/>
    <n v="23.8"/>
    <n v="7.7"/>
    <n v="1.8326000000000002"/>
    <n v="6"/>
    <s v=""/>
  </r>
  <r>
    <x v="874"/>
    <x v="8"/>
    <n v="18.5"/>
    <n v="0"/>
    <n v="0"/>
    <n v="7"/>
    <n v="126.9"/>
  </r>
  <r>
    <x v="875"/>
    <x v="13"/>
    <n v="24.6"/>
    <n v="0.4"/>
    <n v="9.8400000000000015E-2"/>
    <n v="1"/>
    <s v=""/>
  </r>
  <r>
    <x v="876"/>
    <x v="15"/>
    <n v="24.6"/>
    <n v="10.4"/>
    <n v="2.5584000000000002"/>
    <n v="2"/>
    <s v=""/>
  </r>
  <r>
    <x v="877"/>
    <x v="8"/>
    <n v="25.4"/>
    <n v="11.2"/>
    <n v="2.8447999999999998"/>
    <n v="3"/>
    <s v=""/>
  </r>
  <r>
    <x v="878"/>
    <x v="7"/>
    <n v="13.1"/>
    <n v="22.2"/>
    <n v="2.9081999999999999"/>
    <n v="4"/>
    <s v=""/>
  </r>
  <r>
    <x v="879"/>
    <x v="6"/>
    <n v="10.1"/>
    <n v="11.6"/>
    <n v="1.1716"/>
    <n v="5"/>
    <s v=""/>
  </r>
  <r>
    <x v="880"/>
    <x v="11"/>
    <n v="25"/>
    <n v="0"/>
    <n v="0"/>
    <n v="6"/>
    <s v=""/>
  </r>
  <r>
    <x v="881"/>
    <x v="14"/>
    <n v="20.9"/>
    <n v="11.4"/>
    <n v="2.3826000000000001"/>
    <n v="7"/>
    <n v="143.69999999999999"/>
  </r>
  <r>
    <x v="882"/>
    <x v="10"/>
    <n v="27.6"/>
    <n v="2.5"/>
    <n v="0.69"/>
    <n v="1"/>
    <s v=""/>
  </r>
  <r>
    <x v="883"/>
    <x v="6"/>
    <n v="22.8"/>
    <n v="0"/>
    <n v="0"/>
    <n v="2"/>
    <s v=""/>
  </r>
  <r>
    <x v="884"/>
    <x v="5"/>
    <n v="12"/>
    <n v="0"/>
    <n v="0"/>
    <n v="3"/>
    <s v=""/>
  </r>
  <r>
    <x v="885"/>
    <x v="19"/>
    <n v="16.8"/>
    <n v="4.9000000000000004"/>
    <n v="0.82320000000000004"/>
    <n v="4"/>
    <s v=""/>
  </r>
  <r>
    <x v="886"/>
    <x v="16"/>
    <n v="12.9"/>
    <n v="3"/>
    <n v="0.38700000000000001"/>
    <n v="5"/>
    <s v=""/>
  </r>
  <r>
    <x v="887"/>
    <x v="6"/>
    <n v="18"/>
    <n v="13.6"/>
    <n v="2.448"/>
    <n v="6"/>
    <s v=""/>
  </r>
  <r>
    <x v="888"/>
    <x v="15"/>
    <n v="26"/>
    <n v="30.4"/>
    <n v="7.9039999999999999"/>
    <n v="7"/>
    <n v="136.10000000000002"/>
  </r>
  <r>
    <x v="889"/>
    <x v="11"/>
    <n v="21.3"/>
    <n v="0"/>
    <n v="0"/>
    <n v="1"/>
    <s v=""/>
  </r>
  <r>
    <x v="890"/>
    <x v="7"/>
    <n v="15.7"/>
    <n v="5.9"/>
    <n v="0.9262999999999999"/>
    <n v="2"/>
    <s v=""/>
  </r>
  <r>
    <x v="891"/>
    <x v="6"/>
    <n v="19.100000000000001"/>
    <n v="0"/>
    <n v="0"/>
    <n v="3"/>
    <s v=""/>
  </r>
  <r>
    <x v="892"/>
    <x v="15"/>
    <n v="24.6"/>
    <n v="12.3"/>
    <n v="3.0258000000000003"/>
    <n v="4"/>
    <s v=""/>
  </r>
  <r>
    <x v="893"/>
    <x v="6"/>
    <n v="18.7"/>
    <n v="17.8"/>
    <n v="3.3286000000000002"/>
    <n v="5"/>
    <s v=""/>
  </r>
  <r>
    <x v="894"/>
    <x v="5"/>
    <n v="13.2"/>
    <n v="3.2"/>
    <n v="0.4224"/>
    <n v="6"/>
    <s v=""/>
  </r>
  <r>
    <x v="895"/>
    <x v="8"/>
    <n v="24.8"/>
    <n v="2.2999999999999998"/>
    <n v="0.57040000000000002"/>
    <n v="7"/>
    <n v="137.4"/>
  </r>
  <r>
    <x v="896"/>
    <x v="11"/>
    <n v="19.3"/>
    <n v="1.8"/>
    <n v="0.34740000000000004"/>
    <n v="1"/>
    <s v=""/>
  </r>
  <r>
    <x v="897"/>
    <x v="14"/>
    <n v="22.7"/>
    <n v="0"/>
    <n v="0"/>
    <n v="2"/>
    <s v=""/>
  </r>
  <r>
    <x v="898"/>
    <x v="7"/>
    <n v="15.2"/>
    <n v="0"/>
    <n v="0"/>
    <n v="3"/>
    <s v=""/>
  </r>
  <r>
    <x v="899"/>
    <x v="19"/>
    <n v="28.6"/>
    <n v="0.2"/>
    <n v="5.7200000000000008E-2"/>
    <n v="4"/>
    <s v=""/>
  </r>
  <r>
    <x v="900"/>
    <x v="3"/>
    <n v="17.899999999999999"/>
    <n v="18.600000000000001"/>
    <n v="3.3294000000000001"/>
    <n v="5"/>
    <s v=""/>
  </r>
  <r>
    <x v="901"/>
    <x v="27"/>
    <n v="11.6"/>
    <n v="0"/>
    <n v="0"/>
    <n v="6"/>
    <s v=""/>
  </r>
  <r>
    <x v="902"/>
    <x v="17"/>
    <n v="19"/>
    <n v="2.2000000000000002"/>
    <n v="0.41800000000000004"/>
    <n v="7"/>
    <n v="134.30000000000001"/>
  </r>
  <r>
    <x v="903"/>
    <x v="8"/>
    <n v="17.600000000000001"/>
    <n v="7.2"/>
    <n v="1.2672000000000001"/>
    <n v="1"/>
    <s v=""/>
  </r>
  <r>
    <x v="904"/>
    <x v="3"/>
    <n v="12.1"/>
    <n v="7.2"/>
    <n v="0.87120000000000009"/>
    <n v="2"/>
    <s v=""/>
  </r>
  <r>
    <x v="905"/>
    <x v="9"/>
    <n v="28.3"/>
    <n v="1.8"/>
    <n v="0.50940000000000007"/>
    <n v="3"/>
    <s v=""/>
  </r>
  <r>
    <x v="906"/>
    <x v="14"/>
    <n v="13.3"/>
    <n v="0"/>
    <n v="0"/>
    <n v="4"/>
    <s v=""/>
  </r>
  <r>
    <x v="907"/>
    <x v="7"/>
    <n v="21"/>
    <n v="4.2"/>
    <n v="0.88200000000000001"/>
    <n v="5"/>
    <s v=""/>
  </r>
  <r>
    <x v="908"/>
    <x v="6"/>
    <n v="12"/>
    <n v="2.2000000000000002"/>
    <n v="0.26400000000000001"/>
    <n v="6"/>
    <s v=""/>
  </r>
  <r>
    <x v="909"/>
    <x v="15"/>
    <n v="12.1"/>
    <n v="0"/>
    <n v="0"/>
    <n v="7"/>
    <n v="116.39999999999999"/>
  </r>
  <r>
    <x v="910"/>
    <x v="7"/>
    <n v="15.8"/>
    <n v="17.2"/>
    <n v="2.7176"/>
    <n v="1"/>
    <s v=""/>
  </r>
  <r>
    <x v="911"/>
    <x v="8"/>
    <n v="25.7"/>
    <n v="5.9"/>
    <n v="1.5163"/>
    <n v="2"/>
    <s v=""/>
  </r>
  <r>
    <x v="912"/>
    <x v="6"/>
    <n v="20.5"/>
    <n v="26"/>
    <n v="5.33"/>
    <n v="3"/>
    <s v=""/>
  </r>
  <r>
    <x v="913"/>
    <x v="9"/>
    <n v="23.5"/>
    <n v="15.3"/>
    <n v="3.5954999999999999"/>
    <n v="4"/>
    <s v=""/>
  </r>
  <r>
    <x v="914"/>
    <x v="8"/>
    <n v="21.7"/>
    <n v="1.2"/>
    <n v="0.26039999999999996"/>
    <n v="5"/>
    <s v=""/>
  </r>
  <r>
    <x v="915"/>
    <x v="6"/>
    <n v="29.8"/>
    <n v="0"/>
    <n v="0"/>
    <n v="6"/>
    <s v=""/>
  </r>
  <r>
    <x v="916"/>
    <x v="3"/>
    <n v="27.1"/>
    <n v="0"/>
    <n v="0"/>
    <n v="7"/>
    <n v="164.1"/>
  </r>
  <r>
    <x v="917"/>
    <x v="8"/>
    <n v="27.3"/>
    <n v="0"/>
    <n v="0"/>
    <n v="1"/>
    <s v=""/>
  </r>
  <r>
    <x v="918"/>
    <x v="15"/>
    <n v="15.5"/>
    <n v="27.6"/>
    <n v="4.2780000000000005"/>
    <n v="2"/>
    <s v=""/>
  </r>
  <r>
    <x v="919"/>
    <x v="9"/>
    <n v="27.9"/>
    <n v="5.0999999999999996"/>
    <n v="1.4228999999999998"/>
    <n v="3"/>
    <s v=""/>
  </r>
  <r>
    <x v="920"/>
    <x v="6"/>
    <n v="19.7"/>
    <n v="21.4"/>
    <n v="4.2157999999999998"/>
    <n v="4"/>
    <s v=""/>
  </r>
  <r>
    <x v="921"/>
    <x v="6"/>
    <n v="27.8"/>
    <n v="27.6"/>
    <n v="7.6728000000000005"/>
    <n v="5"/>
    <s v=""/>
  </r>
  <r>
    <x v="922"/>
    <x v="18"/>
    <n v="12.3"/>
    <n v="2.9"/>
    <n v="0.35670000000000002"/>
    <n v="6"/>
    <s v=""/>
  </r>
  <r>
    <x v="923"/>
    <x v="14"/>
    <n v="12.8"/>
    <n v="8.8000000000000007"/>
    <n v="1.1264000000000001"/>
    <n v="7"/>
    <n v="143.30000000000001"/>
  </r>
  <r>
    <x v="924"/>
    <x v="6"/>
    <n v="15"/>
    <n v="0"/>
    <n v="0"/>
    <n v="1"/>
    <s v=""/>
  </r>
  <r>
    <x v="925"/>
    <x v="19"/>
    <n v="27.6"/>
    <n v="4.7"/>
    <n v="1.2971999999999999"/>
    <n v="2"/>
    <s v=""/>
  </r>
  <r>
    <x v="926"/>
    <x v="6"/>
    <n v="19.600000000000001"/>
    <n v="0"/>
    <n v="0"/>
    <n v="3"/>
    <s v=""/>
  </r>
  <r>
    <x v="927"/>
    <x v="26"/>
    <n v="16"/>
    <n v="0.4"/>
    <n v="6.4000000000000001E-2"/>
    <n v="4"/>
    <s v=""/>
  </r>
  <r>
    <x v="928"/>
    <x v="6"/>
    <n v="10.3"/>
    <n v="0"/>
    <n v="0"/>
    <n v="5"/>
    <s v=""/>
  </r>
  <r>
    <x v="929"/>
    <x v="14"/>
    <n v="20.2"/>
    <n v="13.9"/>
    <n v="2.8077999999999999"/>
    <n v="6"/>
    <s v=""/>
  </r>
  <r>
    <x v="930"/>
    <x v="22"/>
    <n v="26.4"/>
    <n v="6.8"/>
    <n v="1.7951999999999999"/>
    <n v="7"/>
    <n v="135.1"/>
  </r>
  <r>
    <x v="931"/>
    <x v="13"/>
    <n v="20.6"/>
    <n v="0"/>
    <n v="0"/>
    <n v="1"/>
    <s v=""/>
  </r>
  <r>
    <x v="932"/>
    <x v="15"/>
    <n v="12.3"/>
    <n v="0.2"/>
    <n v="2.4600000000000004E-2"/>
    <n v="2"/>
    <s v=""/>
  </r>
  <r>
    <x v="933"/>
    <x v="15"/>
    <n v="11.2"/>
    <n v="36.200000000000003"/>
    <n v="4.0544000000000002"/>
    <n v="3"/>
    <s v=""/>
  </r>
  <r>
    <x v="934"/>
    <x v="4"/>
    <n v="22.6"/>
    <n v="2.4"/>
    <n v="0.54239999999999999"/>
    <n v="4"/>
    <s v=""/>
  </r>
  <r>
    <x v="935"/>
    <x v="21"/>
    <n v="16.399999999999999"/>
    <n v="0.1"/>
    <n v="1.6399999999999998E-2"/>
    <n v="5"/>
    <s v=""/>
  </r>
  <r>
    <x v="936"/>
    <x v="23"/>
    <n v="23.4"/>
    <n v="0"/>
    <n v="0"/>
    <n v="6"/>
    <s v=""/>
  </r>
  <r>
    <x v="937"/>
    <x v="19"/>
    <n v="20.2"/>
    <n v="0.3"/>
    <n v="6.0599999999999994E-2"/>
    <n v="7"/>
    <n v="126.70000000000003"/>
  </r>
  <r>
    <x v="938"/>
    <x v="7"/>
    <n v="17.600000000000001"/>
    <n v="15"/>
    <n v="2.64"/>
    <n v="1"/>
    <s v=""/>
  </r>
  <r>
    <x v="939"/>
    <x v="6"/>
    <n v="21.7"/>
    <n v="33.299999999999997"/>
    <n v="7.2260999999999989"/>
    <n v="2"/>
    <s v=""/>
  </r>
  <r>
    <x v="940"/>
    <x v="6"/>
    <n v="18.399999999999999"/>
    <n v="19.3"/>
    <n v="3.5512000000000001"/>
    <n v="3"/>
    <s v=""/>
  </r>
  <r>
    <x v="941"/>
    <x v="3"/>
    <n v="20.100000000000001"/>
    <n v="15.4"/>
    <n v="3.0954000000000002"/>
    <n v="4"/>
    <s v=""/>
  </r>
  <r>
    <x v="942"/>
    <x v="14"/>
    <n v="16.5"/>
    <n v="14.7"/>
    <n v="2.4255"/>
    <n v="5"/>
    <s v=""/>
  </r>
  <r>
    <x v="943"/>
    <x v="6"/>
    <n v="12.3"/>
    <n v="30.2"/>
    <n v="3.7146000000000003"/>
    <n v="6"/>
    <s v=""/>
  </r>
  <r>
    <x v="944"/>
    <x v="6"/>
    <n v="29.6"/>
    <n v="42.8"/>
    <n v="12.668799999999999"/>
    <n v="7"/>
    <n v="136.19999999999999"/>
  </r>
  <r>
    <x v="945"/>
    <x v="8"/>
    <n v="26.6"/>
    <n v="9.1999999999999993"/>
    <n v="2.4472"/>
    <n v="1"/>
    <s v=""/>
  </r>
  <r>
    <x v="946"/>
    <x v="14"/>
    <n v="26.7"/>
    <n v="4"/>
    <n v="1.0680000000000001"/>
    <n v="2"/>
    <s v=""/>
  </r>
  <r>
    <x v="947"/>
    <x v="11"/>
    <n v="23.6"/>
    <n v="0"/>
    <n v="0"/>
    <n v="3"/>
    <s v=""/>
  </r>
  <r>
    <x v="948"/>
    <x v="21"/>
    <n v="13.6"/>
    <n v="2.8"/>
    <n v="0.38079999999999997"/>
    <n v="4"/>
    <s v=""/>
  </r>
  <r>
    <x v="949"/>
    <x v="1"/>
    <n v="13.8"/>
    <n v="6.5"/>
    <n v="0.89700000000000002"/>
    <n v="5"/>
    <s v=""/>
  </r>
  <r>
    <x v="950"/>
    <x v="2"/>
    <n v="12.3"/>
    <n v="0"/>
    <n v="0"/>
    <n v="6"/>
    <s v=""/>
  </r>
  <r>
    <x v="951"/>
    <x v="3"/>
    <n v="12.3"/>
    <n v="0"/>
    <n v="0"/>
    <n v="7"/>
    <n v="128.9"/>
  </r>
  <r>
    <x v="952"/>
    <x v="14"/>
    <n v="22.7"/>
    <n v="10.3"/>
    <n v="2.3380999999999998"/>
    <n v="1"/>
    <s v=""/>
  </r>
  <r>
    <x v="953"/>
    <x v="6"/>
    <n v="19"/>
    <n v="0"/>
    <n v="0"/>
    <n v="2"/>
    <s v=""/>
  </r>
  <r>
    <x v="954"/>
    <x v="4"/>
    <n v="23.4"/>
    <n v="0"/>
    <n v="0"/>
    <n v="3"/>
    <s v=""/>
  </r>
  <r>
    <x v="955"/>
    <x v="11"/>
    <n v="28.2"/>
    <n v="0"/>
    <n v="0"/>
    <n v="4"/>
    <s v=""/>
  </r>
  <r>
    <x v="956"/>
    <x v="11"/>
    <n v="20.100000000000001"/>
    <n v="9.6999999999999993"/>
    <n v="1.9497"/>
    <n v="5"/>
    <s v=""/>
  </r>
  <r>
    <x v="957"/>
    <x v="13"/>
    <n v="29.6"/>
    <n v="0"/>
    <n v="0"/>
    <n v="6"/>
    <s v=""/>
  </r>
  <r>
    <x v="958"/>
    <x v="3"/>
    <n v="25.8"/>
    <n v="0"/>
    <n v="0"/>
    <n v="7"/>
    <n v="168.8"/>
  </r>
  <r>
    <x v="959"/>
    <x v="6"/>
    <n v="19.600000000000001"/>
    <n v="18.5"/>
    <n v="3.6260000000000003"/>
    <n v="1"/>
    <s v=""/>
  </r>
  <r>
    <x v="960"/>
    <x v="15"/>
    <n v="21.5"/>
    <n v="3"/>
    <n v="0.64500000000000002"/>
    <n v="2"/>
    <s v=""/>
  </r>
  <r>
    <x v="961"/>
    <x v="11"/>
    <n v="24.2"/>
    <n v="17.399999999999999"/>
    <n v="4.210799999999999"/>
    <n v="3"/>
    <s v=""/>
  </r>
  <r>
    <x v="962"/>
    <x v="23"/>
    <n v="12"/>
    <n v="0"/>
    <n v="0"/>
    <n v="4"/>
    <s v=""/>
  </r>
  <r>
    <x v="963"/>
    <x v="29"/>
    <n v="23"/>
    <n v="0"/>
    <n v="0"/>
    <n v="5"/>
    <s v=""/>
  </r>
  <r>
    <x v="964"/>
    <x v="15"/>
    <n v="19.8"/>
    <n v="29.2"/>
    <n v="5.7816000000000001"/>
    <n v="6"/>
    <s v=""/>
  </r>
  <r>
    <x v="965"/>
    <x v="1"/>
    <n v="14.9"/>
    <n v="0.8"/>
    <n v="0.11920000000000001"/>
    <n v="7"/>
    <n v="135"/>
  </r>
  <r>
    <x v="966"/>
    <x v="11"/>
    <n v="17.899999999999999"/>
    <n v="10.3"/>
    <n v="1.8437000000000001"/>
    <n v="1"/>
    <s v=""/>
  </r>
  <r>
    <x v="967"/>
    <x v="3"/>
    <n v="26"/>
    <n v="0"/>
    <n v="0"/>
    <n v="2"/>
    <s v=""/>
  </r>
  <r>
    <x v="968"/>
    <x v="8"/>
    <n v="21.5"/>
    <n v="9.3000000000000007"/>
    <n v="1.9995000000000003"/>
    <n v="3"/>
    <s v=""/>
  </r>
  <r>
    <x v="969"/>
    <x v="15"/>
    <n v="29.9"/>
    <n v="2.4"/>
    <n v="0.7175999999999999"/>
    <n v="4"/>
    <s v=""/>
  </r>
  <r>
    <x v="970"/>
    <x v="6"/>
    <n v="12.3"/>
    <n v="35.1"/>
    <n v="4.3173000000000004"/>
    <n v="5"/>
    <s v=""/>
  </r>
  <r>
    <x v="971"/>
    <x v="13"/>
    <n v="21.7"/>
    <n v="3.9"/>
    <n v="0.84629999999999994"/>
    <n v="6"/>
    <s v=""/>
  </r>
  <r>
    <x v="972"/>
    <x v="6"/>
    <n v="10.7"/>
    <n v="0"/>
    <n v="0"/>
    <n v="7"/>
    <n v="140"/>
  </r>
  <r>
    <x v="973"/>
    <x v="1"/>
    <n v="21.5"/>
    <n v="0"/>
    <n v="0"/>
    <n v="1"/>
    <s v=""/>
  </r>
  <r>
    <x v="974"/>
    <x v="6"/>
    <n v="26"/>
    <n v="33.799999999999997"/>
    <n v="8.7880000000000003"/>
    <n v="2"/>
    <s v=""/>
  </r>
  <r>
    <x v="975"/>
    <x v="11"/>
    <n v="24.4"/>
    <n v="15.4"/>
    <n v="3.7576000000000001"/>
    <n v="3"/>
    <s v=""/>
  </r>
  <r>
    <x v="976"/>
    <x v="1"/>
    <n v="20.8"/>
    <n v="0"/>
    <n v="0"/>
    <n v="4"/>
    <s v=""/>
  </r>
  <r>
    <x v="977"/>
    <x v="9"/>
    <n v="18.2"/>
    <n v="15.7"/>
    <n v="2.8573999999999997"/>
    <n v="5"/>
    <s v=""/>
  </r>
  <r>
    <x v="978"/>
    <x v="13"/>
    <n v="25.6"/>
    <n v="7"/>
    <n v="1.7920000000000003"/>
    <n v="6"/>
    <s v=""/>
  </r>
  <r>
    <x v="979"/>
    <x v="7"/>
    <n v="25.2"/>
    <n v="0"/>
    <n v="0"/>
    <n v="7"/>
    <n v="161.69999999999999"/>
  </r>
  <r>
    <x v="980"/>
    <x v="8"/>
    <n v="19.5"/>
    <n v="5.3"/>
    <n v="1.0334999999999999"/>
    <n v="1"/>
    <s v=""/>
  </r>
  <r>
    <x v="981"/>
    <x v="20"/>
    <n v="15.2"/>
    <n v="2.1"/>
    <n v="0.31919999999999998"/>
    <n v="2"/>
    <s v=""/>
  </r>
  <r>
    <x v="982"/>
    <x v="11"/>
    <n v="21.3"/>
    <n v="11.4"/>
    <n v="2.4282000000000004"/>
    <n v="3"/>
    <s v=""/>
  </r>
  <r>
    <x v="983"/>
    <x v="11"/>
    <n v="21.8"/>
    <n v="17.399999999999999"/>
    <n v="3.7932000000000001"/>
    <n v="4"/>
    <s v=""/>
  </r>
  <r>
    <x v="984"/>
    <x v="12"/>
    <n v="27.7"/>
    <n v="0.5"/>
    <n v="0.13849999999999998"/>
    <n v="5"/>
    <s v=""/>
  </r>
  <r>
    <x v="985"/>
    <x v="6"/>
    <n v="28.5"/>
    <n v="46"/>
    <n v="13.11"/>
    <n v="6"/>
    <s v=""/>
  </r>
  <r>
    <x v="986"/>
    <x v="23"/>
    <n v="25.7"/>
    <n v="0"/>
    <n v="0"/>
    <n v="7"/>
    <n v="159.69999999999999"/>
  </r>
  <r>
    <x v="987"/>
    <x v="6"/>
    <n v="18"/>
    <n v="0.5"/>
    <n v="0.09"/>
    <n v="1"/>
    <s v=""/>
  </r>
  <r>
    <x v="988"/>
    <x v="2"/>
    <n v="29.5"/>
    <n v="0"/>
    <n v="0"/>
    <n v="2"/>
    <s v=""/>
  </r>
  <r>
    <x v="989"/>
    <x v="14"/>
    <n v="21"/>
    <n v="10.3"/>
    <n v="2.1630000000000003"/>
    <n v="3"/>
    <s v=""/>
  </r>
  <r>
    <x v="990"/>
    <x v="16"/>
    <n v="11.4"/>
    <n v="3.2"/>
    <n v="0.36480000000000001"/>
    <n v="4"/>
    <s v=""/>
  </r>
  <r>
    <x v="991"/>
    <x v="6"/>
    <n v="12.7"/>
    <n v="0"/>
    <n v="0"/>
    <n v="5"/>
    <s v=""/>
  </r>
  <r>
    <x v="992"/>
    <x v="1"/>
    <n v="14.1"/>
    <n v="6.2"/>
    <n v="0.87419999999999998"/>
    <n v="6"/>
    <s v=""/>
  </r>
  <r>
    <x v="993"/>
    <x v="6"/>
    <n v="29.5"/>
    <n v="29.9"/>
    <n v="8.8204999999999991"/>
    <n v="7"/>
    <n v="136.19999999999999"/>
  </r>
  <r>
    <x v="994"/>
    <x v="18"/>
    <n v="18.399999999999999"/>
    <n v="0"/>
    <n v="0"/>
    <n v="1"/>
    <s v=""/>
  </r>
  <r>
    <x v="995"/>
    <x v="6"/>
    <n v="29.6"/>
    <n v="43.9"/>
    <n v="12.994400000000001"/>
    <n v="2"/>
    <s v=""/>
  </r>
  <r>
    <x v="996"/>
    <x v="11"/>
    <n v="22.6"/>
    <n v="14.6"/>
    <n v="3.2996000000000003"/>
    <n v="3"/>
    <s v=""/>
  </r>
  <r>
    <x v="997"/>
    <x v="10"/>
    <n v="13.2"/>
    <n v="6.7"/>
    <n v="0.88439999999999996"/>
    <n v="4"/>
    <s v=""/>
  </r>
  <r>
    <x v="998"/>
    <x v="2"/>
    <n v="10.4"/>
    <n v="8.5"/>
    <n v="0.88400000000000001"/>
    <n v="5"/>
    <s v=""/>
  </r>
  <r>
    <x v="999"/>
    <x v="9"/>
    <n v="16.899999999999999"/>
    <n v="16.399999999999999"/>
    <n v="2.7715999999999998"/>
    <n v="6"/>
    <s v=""/>
  </r>
  <r>
    <x v="1000"/>
    <x v="11"/>
    <n v="19.399999999999999"/>
    <n v="0"/>
    <n v="0"/>
    <n v="7"/>
    <n v="130.5"/>
  </r>
  <r>
    <x v="1001"/>
    <x v="20"/>
    <n v="16.899999999999999"/>
    <n v="1"/>
    <n v="0.16899999999999998"/>
    <n v="1"/>
    <s v=""/>
  </r>
  <r>
    <x v="1002"/>
    <x v="6"/>
    <n v="18.399999999999999"/>
    <n v="0"/>
    <n v="0"/>
    <n v="2"/>
    <s v=""/>
  </r>
  <r>
    <x v="1003"/>
    <x v="11"/>
    <n v="13.4"/>
    <n v="12.8"/>
    <n v="1.7152000000000001"/>
    <n v="3"/>
    <s v=""/>
  </r>
  <r>
    <x v="1004"/>
    <x v="3"/>
    <n v="28.8"/>
    <n v="0"/>
    <n v="0"/>
    <n v="4"/>
    <s v=""/>
  </r>
  <r>
    <x v="1005"/>
    <x v="9"/>
    <n v="19.5"/>
    <n v="1.3"/>
    <n v="0.2535"/>
    <n v="5"/>
    <s v=""/>
  </r>
  <r>
    <x v="1006"/>
    <x v="7"/>
    <n v="29"/>
    <n v="14"/>
    <n v="4.0599999999999996"/>
    <n v="6"/>
    <s v=""/>
  </r>
  <r>
    <x v="1007"/>
    <x v="6"/>
    <n v="29.6"/>
    <n v="28.7"/>
    <n v="8.4952000000000005"/>
    <n v="7"/>
    <n v="155.6"/>
  </r>
  <r>
    <x v="1008"/>
    <x v="2"/>
    <n v="26.5"/>
    <n v="0"/>
    <n v="0"/>
    <n v="1"/>
    <s v=""/>
  </r>
  <r>
    <x v="1009"/>
    <x v="14"/>
    <n v="24.8"/>
    <n v="12.1"/>
    <n v="3.0007999999999999"/>
    <n v="2"/>
    <s v=""/>
  </r>
  <r>
    <x v="1010"/>
    <x v="6"/>
    <n v="20"/>
    <n v="14.7"/>
    <n v="2.94"/>
    <n v="3"/>
    <s v=""/>
  </r>
  <r>
    <x v="1011"/>
    <x v="15"/>
    <n v="16.899999999999999"/>
    <n v="38.299999999999997"/>
    <n v="6.4726999999999988"/>
    <n v="4"/>
    <s v=""/>
  </r>
  <r>
    <x v="1012"/>
    <x v="6"/>
    <n v="11.5"/>
    <n v="24.7"/>
    <n v="2.8405"/>
    <n v="5"/>
    <s v=""/>
  </r>
  <r>
    <x v="1013"/>
    <x v="9"/>
    <n v="11.4"/>
    <n v="0"/>
    <n v="0"/>
    <n v="6"/>
    <s v=""/>
  </r>
  <r>
    <x v="1014"/>
    <x v="2"/>
    <n v="28.5"/>
    <n v="0"/>
    <n v="0"/>
    <n v="7"/>
    <n v="139.6"/>
  </r>
  <r>
    <x v="1015"/>
    <x v="18"/>
    <n v="27.9"/>
    <n v="0.7"/>
    <n v="0.19529999999999997"/>
    <n v="1"/>
    <s v=""/>
  </r>
  <r>
    <x v="1016"/>
    <x v="3"/>
    <n v="26.7"/>
    <n v="15.5"/>
    <n v="4.1384999999999996"/>
    <n v="2"/>
    <s v=""/>
  </r>
  <r>
    <x v="1017"/>
    <x v="14"/>
    <n v="28.3"/>
    <n v="6.8"/>
    <n v="1.9243999999999999"/>
    <n v="3"/>
    <s v=""/>
  </r>
  <r>
    <x v="1018"/>
    <x v="6"/>
    <n v="28.9"/>
    <n v="0"/>
    <n v="0"/>
    <n v="4"/>
    <s v=""/>
  </r>
  <r>
    <x v="1019"/>
    <x v="16"/>
    <n v="21.6"/>
    <n v="4"/>
    <n v="0.8640000000000001"/>
    <n v="5"/>
    <s v=""/>
  </r>
  <r>
    <x v="1020"/>
    <x v="19"/>
    <n v="16.5"/>
    <n v="4.2"/>
    <n v="0.69299999999999995"/>
    <n v="6"/>
    <s v=""/>
  </r>
  <r>
    <x v="1021"/>
    <x v="9"/>
    <n v="24.6"/>
    <n v="10.6"/>
    <n v="2.6075999999999997"/>
    <n v="7"/>
    <n v="174.49999999999997"/>
  </r>
  <r>
    <x v="1022"/>
    <x v="6"/>
    <n v="28.9"/>
    <n v="40.799999999999997"/>
    <n v="11.791199999999998"/>
    <n v="1"/>
    <s v=""/>
  </r>
  <r>
    <x v="1023"/>
    <x v="6"/>
    <n v="22.1"/>
    <n v="10"/>
    <n v="2.21"/>
    <n v="2"/>
    <s v=""/>
  </r>
  <r>
    <x v="1024"/>
    <x v="17"/>
    <n v="29.3"/>
    <n v="0"/>
    <n v="0"/>
    <n v="3"/>
    <s v=""/>
  </r>
  <r>
    <x v="1025"/>
    <x v="14"/>
    <n v="18.8"/>
    <n v="4.7"/>
    <n v="0.88360000000000016"/>
    <n v="4"/>
    <s v=""/>
  </r>
  <r>
    <x v="1026"/>
    <x v="15"/>
    <n v="26.5"/>
    <n v="7.3"/>
    <n v="1.9344999999999999"/>
    <n v="5"/>
    <s v=""/>
  </r>
  <r>
    <x v="1027"/>
    <x v="7"/>
    <n v="24"/>
    <n v="0"/>
    <n v="0"/>
    <n v="6"/>
    <s v=""/>
  </r>
  <r>
    <x v="1028"/>
    <x v="15"/>
    <n v="21"/>
    <n v="12.2"/>
    <n v="2.5619999999999998"/>
    <n v="7"/>
    <n v="170.6"/>
  </r>
  <r>
    <x v="1029"/>
    <x v="13"/>
    <n v="28.1"/>
    <n v="6.7"/>
    <n v="1.8827"/>
    <n v="1"/>
    <s v=""/>
  </r>
  <r>
    <x v="1030"/>
    <x v="10"/>
    <n v="23.3"/>
    <n v="4.8"/>
    <n v="1.1184000000000001"/>
    <n v="2"/>
    <s v=""/>
  </r>
  <r>
    <x v="1031"/>
    <x v="13"/>
    <n v="14.3"/>
    <n v="1.5"/>
    <n v="0.21450000000000002"/>
    <n v="3"/>
    <s v=""/>
  </r>
  <r>
    <x v="1032"/>
    <x v="21"/>
    <n v="12.6"/>
    <n v="1.1000000000000001"/>
    <n v="0.1386"/>
    <n v="4"/>
    <s v=""/>
  </r>
  <r>
    <x v="1033"/>
    <x v="15"/>
    <n v="18.100000000000001"/>
    <n v="0"/>
    <n v="0"/>
    <n v="5"/>
    <s v=""/>
  </r>
  <r>
    <x v="1034"/>
    <x v="11"/>
    <n v="19"/>
    <n v="11"/>
    <n v="2.09"/>
    <n v="6"/>
    <s v=""/>
  </r>
  <r>
    <x v="1035"/>
    <x v="10"/>
    <n v="13.1"/>
    <n v="0"/>
    <n v="0"/>
    <n v="7"/>
    <n v="128.5"/>
  </r>
  <r>
    <x v="1036"/>
    <x v="9"/>
    <n v="17.3"/>
    <n v="1.1000000000000001"/>
    <n v="0.19030000000000002"/>
    <n v="1"/>
    <s v=""/>
  </r>
  <r>
    <x v="1037"/>
    <x v="13"/>
    <n v="23.7"/>
    <n v="5.9"/>
    <n v="1.3983000000000001"/>
    <n v="2"/>
    <s v=""/>
  </r>
  <r>
    <x v="1038"/>
    <x v="29"/>
    <n v="26.3"/>
    <n v="0"/>
    <n v="0"/>
    <n v="3"/>
    <s v=""/>
  </r>
  <r>
    <x v="1039"/>
    <x v="11"/>
    <n v="16.399999999999999"/>
    <n v="0"/>
    <n v="0"/>
    <n v="4"/>
    <s v=""/>
  </r>
  <r>
    <x v="1040"/>
    <x v="5"/>
    <n v="13"/>
    <n v="0"/>
    <n v="0"/>
    <n v="5"/>
    <s v=""/>
  </r>
  <r>
    <x v="1041"/>
    <x v="7"/>
    <n v="28.6"/>
    <n v="1"/>
    <n v="0.28600000000000003"/>
    <n v="6"/>
    <s v=""/>
  </r>
  <r>
    <x v="1042"/>
    <x v="6"/>
    <n v="11.1"/>
    <n v="2.4"/>
    <n v="0.26639999999999997"/>
    <n v="7"/>
    <n v="136.39999999999998"/>
  </r>
  <r>
    <x v="1043"/>
    <x v="20"/>
    <n v="12.9"/>
    <n v="2.9"/>
    <n v="0.37409999999999999"/>
    <n v="1"/>
    <s v=""/>
  </r>
  <r>
    <x v="1044"/>
    <x v="26"/>
    <n v="28.4"/>
    <n v="0.9"/>
    <n v="0.25559999999999999"/>
    <n v="2"/>
    <s v=""/>
  </r>
  <r>
    <x v="1045"/>
    <x v="15"/>
    <n v="21.8"/>
    <n v="3.4"/>
    <n v="0.74120000000000008"/>
    <n v="3"/>
    <s v=""/>
  </r>
  <r>
    <x v="1046"/>
    <x v="2"/>
    <n v="20.8"/>
    <n v="11.8"/>
    <n v="2.4544000000000001"/>
    <n v="4"/>
    <s v=""/>
  </r>
  <r>
    <x v="1047"/>
    <x v="9"/>
    <n v="17.399999999999999"/>
    <n v="0"/>
    <n v="0"/>
    <n v="5"/>
    <s v=""/>
  </r>
  <r>
    <x v="1048"/>
    <x v="2"/>
    <n v="24.8"/>
    <n v="0"/>
    <n v="0"/>
    <n v="6"/>
    <s v=""/>
  </r>
  <r>
    <x v="1049"/>
    <x v="5"/>
    <n v="12.9"/>
    <n v="0"/>
    <n v="0"/>
    <n v="7"/>
    <n v="138.99999999999997"/>
  </r>
  <r>
    <x v="1050"/>
    <x v="13"/>
    <n v="25.9"/>
    <n v="0"/>
    <n v="0"/>
    <n v="1"/>
    <s v=""/>
  </r>
  <r>
    <x v="1051"/>
    <x v="6"/>
    <n v="11.5"/>
    <n v="23.2"/>
    <n v="2.6680000000000001"/>
    <n v="2"/>
    <s v=""/>
  </r>
  <r>
    <x v="1052"/>
    <x v="16"/>
    <n v="25.5"/>
    <n v="0"/>
    <n v="0"/>
    <n v="3"/>
    <s v=""/>
  </r>
  <r>
    <x v="1053"/>
    <x v="29"/>
    <n v="22.6"/>
    <n v="2.2000000000000002"/>
    <n v="0.49720000000000009"/>
    <n v="4"/>
    <s v=""/>
  </r>
  <r>
    <x v="1054"/>
    <x v="6"/>
    <n v="14.2"/>
    <n v="0"/>
    <n v="0"/>
    <n v="5"/>
    <s v=""/>
  </r>
  <r>
    <x v="1055"/>
    <x v="9"/>
    <n v="26.9"/>
    <n v="9.1999999999999993"/>
    <n v="2.4747999999999997"/>
    <n v="6"/>
    <s v=""/>
  </r>
  <r>
    <x v="1056"/>
    <x v="15"/>
    <n v="30"/>
    <n v="32.299999999999997"/>
    <n v="9.69"/>
    <n v="7"/>
    <n v="156.6"/>
  </r>
  <r>
    <x v="1057"/>
    <x v="23"/>
    <n v="16.2"/>
    <n v="5.2"/>
    <n v="0.84239999999999993"/>
    <n v="1"/>
    <s v=""/>
  </r>
  <r>
    <x v="1058"/>
    <x v="7"/>
    <n v="12.2"/>
    <n v="0"/>
    <n v="0"/>
    <n v="2"/>
    <s v=""/>
  </r>
  <r>
    <x v="1059"/>
    <x v="11"/>
    <n v="28.7"/>
    <n v="0.5"/>
    <n v="0.14349999999999999"/>
    <n v="3"/>
    <s v=""/>
  </r>
  <r>
    <x v="1060"/>
    <x v="2"/>
    <n v="23.3"/>
    <n v="11.1"/>
    <n v="2.5863"/>
    <n v="4"/>
    <s v=""/>
  </r>
  <r>
    <x v="1061"/>
    <x v="11"/>
    <n v="30"/>
    <n v="16.100000000000001"/>
    <n v="4.830000000000001"/>
    <n v="5"/>
    <s v=""/>
  </r>
  <r>
    <x v="1062"/>
    <x v="14"/>
    <n v="16"/>
    <n v="9.8000000000000007"/>
    <n v="1.5680000000000001"/>
    <n v="6"/>
    <s v=""/>
  </r>
  <r>
    <x v="1063"/>
    <x v="16"/>
    <n v="21.6"/>
    <n v="3.4"/>
    <n v="0.73439999999999994"/>
    <n v="7"/>
    <n v="148"/>
  </r>
  <r>
    <x v="1064"/>
    <x v="15"/>
    <n v="27.9"/>
    <n v="4.8"/>
    <n v="1.3391999999999999"/>
    <n v="1"/>
    <s v=""/>
  </r>
  <r>
    <x v="1065"/>
    <x v="9"/>
    <n v="17.5"/>
    <n v="14.7"/>
    <n v="2.5724999999999998"/>
    <n v="2"/>
    <s v=""/>
  </r>
  <r>
    <x v="1066"/>
    <x v="3"/>
    <n v="20.7"/>
    <n v="0"/>
    <n v="0"/>
    <n v="3"/>
    <s v=""/>
  </r>
  <r>
    <x v="1067"/>
    <x v="6"/>
    <n v="10.8"/>
    <n v="36.4"/>
    <n v="3.9312"/>
    <n v="4"/>
    <s v=""/>
  </r>
  <r>
    <x v="1068"/>
    <x v="15"/>
    <n v="27.6"/>
    <n v="32.799999999999997"/>
    <n v="9.0527999999999995"/>
    <n v="5"/>
    <s v=""/>
  </r>
  <r>
    <x v="1069"/>
    <x v="7"/>
    <n v="10.8"/>
    <n v="11.6"/>
    <n v="1.2527999999999999"/>
    <n v="6"/>
    <s v=""/>
  </r>
  <r>
    <x v="1070"/>
    <x v="13"/>
    <n v="13.7"/>
    <n v="0"/>
    <n v="0"/>
    <n v="7"/>
    <n v="129"/>
  </r>
  <r>
    <x v="1071"/>
    <x v="14"/>
    <n v="19.5"/>
    <n v="0"/>
    <n v="0"/>
    <n v="1"/>
    <s v=""/>
  </r>
  <r>
    <x v="1072"/>
    <x v="5"/>
    <n v="21.6"/>
    <n v="11.6"/>
    <n v="2.5055999999999998"/>
    <n v="2"/>
    <s v=""/>
  </r>
  <r>
    <x v="1073"/>
    <x v="13"/>
    <n v="21.6"/>
    <n v="2.7"/>
    <n v="0.58320000000000005"/>
    <n v="3"/>
    <s v=""/>
  </r>
  <r>
    <x v="1074"/>
    <x v="20"/>
    <n v="16.100000000000001"/>
    <n v="0"/>
    <n v="0"/>
    <n v="4"/>
    <s v=""/>
  </r>
  <r>
    <x v="1075"/>
    <x v="2"/>
    <n v="29.4"/>
    <n v="12.5"/>
    <n v="3.6749999999999998"/>
    <n v="5"/>
    <s v=""/>
  </r>
  <r>
    <x v="1076"/>
    <x v="22"/>
    <n v="17.8"/>
    <n v="5.9"/>
    <n v="1.0502"/>
    <n v="6"/>
    <s v=""/>
  </r>
  <r>
    <x v="1077"/>
    <x v="15"/>
    <n v="26.1"/>
    <n v="14.8"/>
    <n v="3.8628000000000005"/>
    <n v="7"/>
    <n v="152.10000000000002"/>
  </r>
  <r>
    <x v="1078"/>
    <x v="6"/>
    <n v="13.8"/>
    <n v="0"/>
    <n v="0"/>
    <n v="1"/>
    <s v=""/>
  </r>
  <r>
    <x v="1079"/>
    <x v="8"/>
    <n v="16.100000000000001"/>
    <n v="6.2"/>
    <n v="0.99820000000000009"/>
    <n v="2"/>
    <s v=""/>
  </r>
  <r>
    <x v="1080"/>
    <x v="6"/>
    <n v="23.2"/>
    <n v="45.8"/>
    <n v="10.625599999999999"/>
    <n v="3"/>
    <s v=""/>
  </r>
  <r>
    <x v="1081"/>
    <x v="8"/>
    <n v="18.899999999999999"/>
    <n v="0"/>
    <n v="0"/>
    <n v="4"/>
    <s v=""/>
  </r>
  <r>
    <x v="1082"/>
    <x v="15"/>
    <n v="28.9"/>
    <n v="34.1"/>
    <n v="9.8549000000000007"/>
    <n v="5"/>
    <s v=""/>
  </r>
  <r>
    <x v="1083"/>
    <x v="6"/>
    <n v="19.3"/>
    <n v="49.6"/>
    <n v="9.5728000000000009"/>
    <n v="6"/>
    <s v=""/>
  </r>
  <r>
    <x v="1084"/>
    <x v="14"/>
    <n v="23.9"/>
    <n v="11.7"/>
    <n v="2.7962999999999996"/>
    <n v="7"/>
    <n v="144.1"/>
  </r>
  <r>
    <x v="1085"/>
    <x v="9"/>
    <n v="28.6"/>
    <n v="11.5"/>
    <n v="3.2890000000000001"/>
    <n v="1"/>
    <s v=""/>
  </r>
  <r>
    <x v="1086"/>
    <x v="22"/>
    <n v="14.5"/>
    <n v="0.3"/>
    <n v="4.3499999999999997E-2"/>
    <n v="2"/>
    <s v=""/>
  </r>
  <r>
    <x v="1087"/>
    <x v="6"/>
    <n v="13"/>
    <n v="0"/>
    <n v="0"/>
    <n v="3"/>
    <s v=""/>
  </r>
  <r>
    <x v="1088"/>
    <x v="15"/>
    <n v="16.2"/>
    <n v="9.1999999999999993"/>
    <n v="1.4903999999999999"/>
    <n v="4"/>
    <s v=""/>
  </r>
  <r>
    <x v="1089"/>
    <x v="11"/>
    <n v="27.1"/>
    <n v="6.3"/>
    <n v="1.7073000000000003"/>
    <n v="5"/>
    <s v=""/>
  </r>
  <r>
    <x v="1090"/>
    <x v="6"/>
    <n v="15.6"/>
    <n v="28"/>
    <n v="4.3680000000000003"/>
    <n v="6"/>
    <s v=""/>
  </r>
  <r>
    <x v="1091"/>
    <x v="22"/>
    <n v="28.9"/>
    <n v="6.8"/>
    <n v="1.9651999999999998"/>
    <n v="7"/>
    <n v="143.9"/>
  </r>
  <r>
    <x v="1092"/>
    <x v="2"/>
    <n v="13.8"/>
    <n v="11.9"/>
    <n v="1.6422000000000003"/>
    <n v="1"/>
    <s v=""/>
  </r>
  <r>
    <x v="1093"/>
    <x v="2"/>
    <n v="17.8"/>
    <n v="1.5"/>
    <n v="0.26700000000000002"/>
    <n v="2"/>
    <s v=""/>
  </r>
  <r>
    <x v="1094"/>
    <x v="18"/>
    <n v="25.1"/>
    <n v="0"/>
    <n v="0"/>
    <n v="3"/>
    <s v=""/>
  </r>
  <r>
    <x v="1095"/>
    <x v="18"/>
    <n v="29.5"/>
    <n v="0"/>
    <n v="0"/>
    <n v="4"/>
    <s v=""/>
  </r>
  <r>
    <x v="1096"/>
    <x v="22"/>
    <n v="16.100000000000001"/>
    <n v="7.1"/>
    <n v="1.1431"/>
    <n v="5"/>
    <s v=""/>
  </r>
  <r>
    <x v="1097"/>
    <x v="5"/>
    <n v="18"/>
    <n v="12"/>
    <n v="2.16"/>
    <n v="6"/>
    <s v=""/>
  </r>
  <r>
    <x v="1098"/>
    <x v="6"/>
    <n v="12.2"/>
    <n v="26.8"/>
    <n v="3.2695999999999996"/>
    <n v="7"/>
    <n v="132.5"/>
  </r>
  <r>
    <x v="1099"/>
    <x v="10"/>
    <n v="20.7"/>
    <n v="4.7"/>
    <n v="0.9729000000000001"/>
    <n v="1"/>
    <s v=""/>
  </r>
  <r>
    <x v="1100"/>
    <x v="6"/>
    <n v="20.100000000000001"/>
    <n v="47.4"/>
    <n v="9.5274000000000001"/>
    <n v="2"/>
    <s v=""/>
  </r>
  <r>
    <x v="1101"/>
    <x v="6"/>
    <n v="14.9"/>
    <n v="43.8"/>
    <n v="6.5262000000000002"/>
    <n v="3"/>
    <s v=""/>
  </r>
  <r>
    <x v="1102"/>
    <x v="6"/>
    <n v="19"/>
    <n v="0"/>
    <n v="0"/>
    <n v="4"/>
    <s v=""/>
  </r>
  <r>
    <x v="1103"/>
    <x v="2"/>
    <n v="12.5"/>
    <n v="0"/>
    <n v="0"/>
    <n v="5"/>
    <s v=""/>
  </r>
  <r>
    <x v="1104"/>
    <x v="9"/>
    <n v="15.2"/>
    <n v="13.9"/>
    <n v="2.1128"/>
    <n v="6"/>
    <s v=""/>
  </r>
  <r>
    <x v="1105"/>
    <x v="15"/>
    <n v="29.2"/>
    <n v="26.8"/>
    <n v="7.8255999999999997"/>
    <n v="7"/>
    <n v="131.6"/>
  </r>
  <r>
    <x v="1106"/>
    <x v="2"/>
    <n v="13.9"/>
    <n v="1.1000000000000001"/>
    <n v="0.15290000000000001"/>
    <n v="1"/>
    <s v=""/>
  </r>
  <r>
    <x v="1107"/>
    <x v="11"/>
    <n v="11.4"/>
    <n v="0"/>
    <n v="0"/>
    <n v="2"/>
    <s v=""/>
  </r>
  <r>
    <x v="1108"/>
    <x v="5"/>
    <n v="15.8"/>
    <n v="7"/>
    <n v="1.1060000000000001"/>
    <n v="3"/>
    <s v=""/>
  </r>
  <r>
    <x v="1109"/>
    <x v="6"/>
    <n v="10.199999999999999"/>
    <n v="43.3"/>
    <n v="4.4165999999999999"/>
    <n v="4"/>
    <s v=""/>
  </r>
  <r>
    <x v="1110"/>
    <x v="9"/>
    <n v="19.600000000000001"/>
    <n v="8.9"/>
    <n v="1.7444000000000002"/>
    <n v="5"/>
    <s v=""/>
  </r>
  <r>
    <x v="1111"/>
    <x v="2"/>
    <n v="15.5"/>
    <n v="10.1"/>
    <n v="1.5654999999999999"/>
    <n v="6"/>
    <s v=""/>
  </r>
  <r>
    <x v="1112"/>
    <x v="11"/>
    <n v="19.899999999999999"/>
    <n v="16.2"/>
    <n v="3.2237999999999993"/>
    <n v="7"/>
    <n v="106.30000000000001"/>
  </r>
  <r>
    <x v="1113"/>
    <x v="14"/>
    <n v="10.7"/>
    <n v="2.8"/>
    <n v="0.29959999999999998"/>
    <n v="1"/>
    <s v=""/>
  </r>
  <r>
    <x v="1114"/>
    <x v="22"/>
    <n v="11.5"/>
    <n v="5.9"/>
    <n v="0.6785000000000001"/>
    <n v="2"/>
    <s v=""/>
  </r>
  <r>
    <x v="1115"/>
    <x v="10"/>
    <n v="28.4"/>
    <n v="1"/>
    <n v="0.28399999999999997"/>
    <n v="3"/>
    <s v=""/>
  </r>
  <r>
    <x v="1116"/>
    <x v="15"/>
    <n v="22.3"/>
    <n v="5.0999999999999996"/>
    <n v="1.1373"/>
    <n v="4"/>
    <s v=""/>
  </r>
  <r>
    <x v="1117"/>
    <x v="9"/>
    <n v="28.7"/>
    <n v="11.5"/>
    <n v="3.3005"/>
    <n v="5"/>
    <s v=""/>
  </r>
  <r>
    <x v="1118"/>
    <x v="2"/>
    <n v="19.100000000000001"/>
    <n v="0"/>
    <n v="0"/>
    <n v="6"/>
    <s v=""/>
  </r>
  <r>
    <x v="1119"/>
    <x v="6"/>
    <n v="10.199999999999999"/>
    <n v="7.6"/>
    <n v="0.7752"/>
    <n v="7"/>
    <n v="130.89999999999998"/>
  </r>
  <r>
    <x v="1120"/>
    <x v="6"/>
    <n v="18.399999999999999"/>
    <n v="0"/>
    <n v="0"/>
    <n v="1"/>
    <s v=""/>
  </r>
  <r>
    <x v="1121"/>
    <x v="15"/>
    <n v="29.3"/>
    <n v="0"/>
    <n v="0"/>
    <n v="2"/>
    <s v=""/>
  </r>
  <r>
    <x v="1122"/>
    <x v="13"/>
    <n v="26.7"/>
    <n v="5.7"/>
    <n v="1.5219"/>
    <n v="3"/>
    <s v=""/>
  </r>
  <r>
    <x v="1123"/>
    <x v="4"/>
    <n v="22.2"/>
    <n v="0.9"/>
    <n v="0.19980000000000001"/>
    <n v="4"/>
    <s v=""/>
  </r>
  <r>
    <x v="1124"/>
    <x v="9"/>
    <n v="25.5"/>
    <n v="5.8"/>
    <n v="1.4790000000000001"/>
    <n v="5"/>
    <s v=""/>
  </r>
  <r>
    <x v="1125"/>
    <x v="15"/>
    <n v="23.5"/>
    <n v="32"/>
    <n v="7.52"/>
    <n v="6"/>
    <s v=""/>
  </r>
  <r>
    <x v="1126"/>
    <x v="1"/>
    <n v="28.4"/>
    <n v="5.7"/>
    <n v="1.6188"/>
    <n v="7"/>
    <n v="174.00000000000003"/>
  </r>
  <r>
    <x v="1127"/>
    <x v="18"/>
    <n v="13.7"/>
    <n v="6"/>
    <n v="0.82199999999999984"/>
    <n v="1"/>
    <s v=""/>
  </r>
  <r>
    <x v="1128"/>
    <x v="5"/>
    <n v="22.1"/>
    <n v="11.7"/>
    <n v="2.5857000000000001"/>
    <n v="2"/>
    <s v=""/>
  </r>
  <r>
    <x v="1129"/>
    <x v="7"/>
    <n v="16.899999999999999"/>
    <n v="18.2"/>
    <n v="3.0757999999999996"/>
    <n v="3"/>
    <s v=""/>
  </r>
  <r>
    <x v="1130"/>
    <x v="18"/>
    <n v="28"/>
    <n v="0"/>
    <n v="0"/>
    <n v="4"/>
    <s v=""/>
  </r>
  <r>
    <x v="1131"/>
    <x v="6"/>
    <n v="13.5"/>
    <n v="3.7"/>
    <n v="0.49950000000000006"/>
    <n v="5"/>
    <s v=""/>
  </r>
  <r>
    <x v="1132"/>
    <x v="15"/>
    <n v="13.4"/>
    <n v="22.5"/>
    <n v="3.0150000000000001"/>
    <n v="6"/>
    <s v=""/>
  </r>
  <r>
    <x v="1133"/>
    <x v="2"/>
    <n v="19.899999999999999"/>
    <n v="11.6"/>
    <n v="2.3083999999999998"/>
    <n v="7"/>
    <n v="127.5"/>
  </r>
  <r>
    <x v="1134"/>
    <x v="3"/>
    <n v="24.2"/>
    <n v="11"/>
    <n v="2.6619999999999999"/>
    <n v="1"/>
    <s v=""/>
  </r>
  <r>
    <x v="1135"/>
    <x v="23"/>
    <n v="20.399999999999999"/>
    <n v="0"/>
    <n v="0"/>
    <n v="2"/>
    <s v=""/>
  </r>
  <r>
    <x v="1136"/>
    <x v="23"/>
    <n v="16.600000000000001"/>
    <n v="3.9"/>
    <n v="0.64740000000000009"/>
    <n v="3"/>
    <s v=""/>
  </r>
  <r>
    <x v="1137"/>
    <x v="29"/>
    <n v="14.3"/>
    <n v="0"/>
    <n v="0"/>
    <n v="4"/>
    <s v=""/>
  </r>
  <r>
    <x v="1138"/>
    <x v="22"/>
    <n v="24.4"/>
    <n v="4.4000000000000004"/>
    <n v="1.0735999999999999"/>
    <n v="5"/>
    <s v=""/>
  </r>
  <r>
    <x v="1139"/>
    <x v="6"/>
    <n v="26.7"/>
    <n v="30.4"/>
    <n v="8.1167999999999996"/>
    <n v="6"/>
    <s v=""/>
  </r>
  <r>
    <x v="1140"/>
    <x v="9"/>
    <n v="20.100000000000001"/>
    <n v="3.1"/>
    <n v="0.6231000000000001"/>
    <n v="7"/>
    <n v="146.70000000000002"/>
  </r>
  <r>
    <x v="1141"/>
    <x v="2"/>
    <n v="13.5"/>
    <n v="6.9"/>
    <n v="0.93150000000000011"/>
    <n v="1"/>
    <s v=""/>
  </r>
  <r>
    <x v="1142"/>
    <x v="3"/>
    <n v="18.8"/>
    <n v="21.5"/>
    <n v="4.0419999999999998"/>
    <n v="2"/>
    <s v=""/>
  </r>
  <r>
    <x v="1143"/>
    <x v="15"/>
    <n v="18"/>
    <n v="13.9"/>
    <n v="2.5020000000000002"/>
    <n v="3"/>
    <s v=""/>
  </r>
  <r>
    <x v="1144"/>
    <x v="23"/>
    <n v="16.899999999999999"/>
    <n v="1.8"/>
    <n v="0.30419999999999997"/>
    <n v="4"/>
    <s v=""/>
  </r>
  <r>
    <x v="1145"/>
    <x v="2"/>
    <n v="23.7"/>
    <n v="13"/>
    <n v="3.0809999999999995"/>
    <n v="5"/>
    <s v=""/>
  </r>
  <r>
    <x v="1146"/>
    <x v="28"/>
    <n v="17.600000000000001"/>
    <n v="0.6"/>
    <n v="0.1056"/>
    <n v="6"/>
    <s v=""/>
  </r>
  <r>
    <x v="1147"/>
    <x v="3"/>
    <n v="29.1"/>
    <n v="8.3000000000000007"/>
    <n v="2.4153000000000002"/>
    <n v="7"/>
    <n v="137.6"/>
  </r>
  <r>
    <x v="1148"/>
    <x v="5"/>
    <n v="26.8"/>
    <n v="11.2"/>
    <n v="3.0015999999999998"/>
    <n v="1"/>
    <s v=""/>
  </r>
  <r>
    <x v="1149"/>
    <x v="14"/>
    <n v="10.5"/>
    <n v="0"/>
    <n v="0"/>
    <n v="2"/>
    <s v=""/>
  </r>
  <r>
    <x v="1150"/>
    <x v="7"/>
    <n v="13.5"/>
    <n v="0"/>
    <n v="0"/>
    <n v="3"/>
    <s v=""/>
  </r>
  <r>
    <x v="1151"/>
    <x v="6"/>
    <n v="14"/>
    <n v="22"/>
    <n v="3.08"/>
    <n v="4"/>
    <s v=""/>
  </r>
  <r>
    <x v="1152"/>
    <x v="7"/>
    <n v="26.7"/>
    <n v="8"/>
    <n v="2.1360000000000001"/>
    <n v="5"/>
    <s v=""/>
  </r>
  <r>
    <x v="1153"/>
    <x v="22"/>
    <n v="11.2"/>
    <n v="6.1"/>
    <n v="0.68319999999999992"/>
    <n v="6"/>
    <s v=""/>
  </r>
  <r>
    <x v="1154"/>
    <x v="23"/>
    <n v="24.7"/>
    <n v="0"/>
    <n v="0"/>
    <n v="7"/>
    <n v="127.4"/>
  </r>
  <r>
    <x v="1155"/>
    <x v="25"/>
    <n v="27.2"/>
    <n v="0.3"/>
    <n v="8.1600000000000006E-2"/>
    <n v="1"/>
    <s v=""/>
  </r>
  <r>
    <x v="1156"/>
    <x v="26"/>
    <n v="11"/>
    <n v="0"/>
    <n v="0"/>
    <n v="2"/>
    <s v=""/>
  </r>
  <r>
    <x v="1157"/>
    <x v="8"/>
    <n v="10.9"/>
    <n v="4.4000000000000004"/>
    <n v="0.47960000000000008"/>
    <n v="3"/>
    <s v=""/>
  </r>
  <r>
    <x v="1158"/>
    <x v="3"/>
    <n v="27.4"/>
    <n v="6"/>
    <n v="1.6439999999999997"/>
    <n v="4"/>
    <s v=""/>
  </r>
  <r>
    <x v="1159"/>
    <x v="2"/>
    <n v="20"/>
    <n v="7.6"/>
    <n v="1.52"/>
    <n v="5"/>
    <s v=""/>
  </r>
  <r>
    <x v="1160"/>
    <x v="14"/>
    <n v="23.5"/>
    <n v="2.5"/>
    <n v="0.58750000000000002"/>
    <n v="6"/>
    <s v=""/>
  </r>
  <r>
    <x v="1161"/>
    <x v="7"/>
    <n v="28.5"/>
    <n v="0"/>
    <n v="0"/>
    <n v="7"/>
    <n v="148.5"/>
  </r>
  <r>
    <x v="1162"/>
    <x v="23"/>
    <n v="10.8"/>
    <n v="5.8"/>
    <n v="0.62639999999999996"/>
    <n v="1"/>
    <s v=""/>
  </r>
  <r>
    <x v="1163"/>
    <x v="11"/>
    <n v="18.899999999999999"/>
    <n v="9.5"/>
    <n v="1.7954999999999999"/>
    <n v="2"/>
    <s v=""/>
  </r>
  <r>
    <x v="1164"/>
    <x v="9"/>
    <n v="24"/>
    <n v="4"/>
    <n v="0.96"/>
    <n v="3"/>
    <s v=""/>
  </r>
  <r>
    <x v="1165"/>
    <x v="8"/>
    <n v="12.7"/>
    <n v="3"/>
    <n v="0.38099999999999995"/>
    <n v="4"/>
    <s v=""/>
  </r>
  <r>
    <x v="1166"/>
    <x v="3"/>
    <n v="13.4"/>
    <n v="6.2"/>
    <n v="0.83079999999999998"/>
    <n v="5"/>
    <s v=""/>
  </r>
  <r>
    <x v="1167"/>
    <x v="6"/>
    <n v="15.9"/>
    <n v="0"/>
    <n v="0"/>
    <n v="6"/>
    <s v=""/>
  </r>
  <r>
    <x v="1168"/>
    <x v="7"/>
    <n v="19.399999999999999"/>
    <n v="21.2"/>
    <n v="4.1128"/>
    <n v="7"/>
    <n v="115.10000000000002"/>
  </r>
  <r>
    <x v="1169"/>
    <x v="11"/>
    <n v="16.3"/>
    <n v="17.600000000000001"/>
    <n v="2.8688000000000007"/>
    <n v="1"/>
    <s v=""/>
  </r>
  <r>
    <x v="1170"/>
    <x v="7"/>
    <n v="28"/>
    <n v="20.399999999999999"/>
    <n v="5.7119999999999997"/>
    <n v="2"/>
    <s v=""/>
  </r>
  <r>
    <x v="1171"/>
    <x v="8"/>
    <n v="19"/>
    <n v="5.2"/>
    <n v="0.98799999999999999"/>
    <n v="3"/>
    <s v=""/>
  </r>
  <r>
    <x v="1172"/>
    <x v="23"/>
    <n v="24.1"/>
    <n v="4.8"/>
    <n v="1.1568000000000001"/>
    <n v="4"/>
    <s v=""/>
  </r>
  <r>
    <x v="1173"/>
    <x v="6"/>
    <n v="15.2"/>
    <n v="25.7"/>
    <n v="3.9063999999999997"/>
    <n v="5"/>
    <s v=""/>
  </r>
  <r>
    <x v="1174"/>
    <x v="7"/>
    <n v="16.3"/>
    <n v="21"/>
    <n v="3.423"/>
    <n v="6"/>
    <s v=""/>
  </r>
  <r>
    <x v="1175"/>
    <x v="3"/>
    <n v="26.9"/>
    <n v="0"/>
    <n v="0"/>
    <n v="7"/>
    <n v="145.80000000000001"/>
  </r>
  <r>
    <x v="1176"/>
    <x v="5"/>
    <n v="25"/>
    <n v="0.5"/>
    <n v="0.125"/>
    <n v="1"/>
    <s v=""/>
  </r>
  <r>
    <x v="1177"/>
    <x v="13"/>
    <n v="25.1"/>
    <n v="5.2"/>
    <n v="1.3052000000000001"/>
    <n v="2"/>
    <s v=""/>
  </r>
  <r>
    <x v="1178"/>
    <x v="8"/>
    <n v="29.2"/>
    <n v="7.1"/>
    <n v="2.0731999999999999"/>
    <n v="3"/>
    <s v=""/>
  </r>
  <r>
    <x v="1179"/>
    <x v="9"/>
    <n v="18.100000000000001"/>
    <n v="5.0999999999999996"/>
    <n v="0.92310000000000003"/>
    <n v="4"/>
    <s v=""/>
  </r>
  <r>
    <x v="1180"/>
    <x v="7"/>
    <n v="12.5"/>
    <n v="0"/>
    <n v="0"/>
    <n v="5"/>
    <s v=""/>
  </r>
  <r>
    <x v="1181"/>
    <x v="7"/>
    <n v="19.100000000000001"/>
    <n v="0.3"/>
    <n v="5.7300000000000004E-2"/>
    <n v="6"/>
    <s v=""/>
  </r>
  <r>
    <x v="1182"/>
    <x v="15"/>
    <n v="27.4"/>
    <n v="0"/>
    <n v="0"/>
    <n v="7"/>
    <n v="156.4"/>
  </r>
  <r>
    <x v="1183"/>
    <x v="3"/>
    <n v="21.1"/>
    <n v="10.4"/>
    <n v="2.1944000000000004"/>
    <n v="1"/>
    <s v=""/>
  </r>
  <r>
    <x v="1184"/>
    <x v="23"/>
    <n v="13.4"/>
    <n v="0"/>
    <n v="0"/>
    <n v="2"/>
    <s v=""/>
  </r>
  <r>
    <x v="1185"/>
    <x v="1"/>
    <n v="11.9"/>
    <n v="7.3"/>
    <n v="0.86870000000000003"/>
    <n v="3"/>
    <s v=""/>
  </r>
  <r>
    <x v="1186"/>
    <x v="9"/>
    <n v="20.399999999999999"/>
    <n v="4.3"/>
    <n v="0.87719999999999987"/>
    <n v="4"/>
    <s v=""/>
  </r>
  <r>
    <x v="1187"/>
    <x v="3"/>
    <n v="29.5"/>
    <n v="18.600000000000001"/>
    <n v="5.4870000000000001"/>
    <n v="5"/>
    <s v=""/>
  </r>
  <r>
    <x v="1188"/>
    <x v="8"/>
    <n v="24.1"/>
    <n v="5"/>
    <n v="1.2050000000000001"/>
    <n v="6"/>
    <s v=""/>
  </r>
  <r>
    <x v="1189"/>
    <x v="10"/>
    <n v="11.5"/>
    <n v="3.6"/>
    <n v="0.41399999999999998"/>
    <n v="7"/>
    <n v="131.9"/>
  </r>
  <r>
    <x v="1190"/>
    <x v="21"/>
    <n v="21.2"/>
    <n v="1.8"/>
    <n v="0.38159999999999994"/>
    <n v="1"/>
    <s v=""/>
  </r>
  <r>
    <x v="1191"/>
    <x v="6"/>
    <n v="22.2"/>
    <n v="40.299999999999997"/>
    <n v="8.9465999999999983"/>
    <n v="2"/>
    <s v=""/>
  </r>
  <r>
    <x v="1192"/>
    <x v="6"/>
    <n v="14.6"/>
    <n v="2.6"/>
    <n v="0.37959999999999999"/>
    <n v="3"/>
    <s v=""/>
  </r>
  <r>
    <x v="1193"/>
    <x v="9"/>
    <n v="23.3"/>
    <n v="8.1"/>
    <n v="1.8873"/>
    <n v="4"/>
    <s v=""/>
  </r>
  <r>
    <x v="1194"/>
    <x v="9"/>
    <n v="16.2"/>
    <n v="10.4"/>
    <n v="1.6847999999999999"/>
    <n v="5"/>
    <s v=""/>
  </r>
  <r>
    <x v="1195"/>
    <x v="6"/>
    <n v="25.9"/>
    <n v="0"/>
    <n v="0"/>
    <n v="6"/>
    <s v=""/>
  </r>
  <r>
    <x v="1196"/>
    <x v="1"/>
    <n v="14.6"/>
    <n v="7"/>
    <n v="1.022"/>
    <n v="7"/>
    <n v="138"/>
  </r>
  <r>
    <x v="1197"/>
    <x v="14"/>
    <n v="15.1"/>
    <n v="11.7"/>
    <n v="1.7666999999999999"/>
    <n v="1"/>
    <s v=""/>
  </r>
  <r>
    <x v="1198"/>
    <x v="15"/>
    <n v="14.1"/>
    <n v="6.5"/>
    <n v="0.91649999999999987"/>
    <n v="2"/>
    <s v=""/>
  </r>
  <r>
    <x v="1199"/>
    <x v="23"/>
    <n v="22.1"/>
    <n v="1.8"/>
    <n v="0.39779999999999999"/>
    <n v="3"/>
    <s v=""/>
  </r>
  <r>
    <x v="1200"/>
    <x v="7"/>
    <n v="27.2"/>
    <n v="21.9"/>
    <n v="5.9567999999999994"/>
    <n v="4"/>
    <s v=""/>
  </r>
  <r>
    <x v="1201"/>
    <x v="2"/>
    <n v="10.8"/>
    <n v="0"/>
    <n v="0"/>
    <n v="5"/>
    <s v=""/>
  </r>
  <r>
    <x v="1202"/>
    <x v="3"/>
    <n v="24.6"/>
    <n v="0"/>
    <n v="0"/>
    <n v="6"/>
    <s v=""/>
  </r>
  <r>
    <x v="1203"/>
    <x v="6"/>
    <n v="27.8"/>
    <n v="26.3"/>
    <n v="7.3113999999999999"/>
    <n v="7"/>
    <n v="141.70000000000002"/>
  </r>
  <r>
    <x v="1204"/>
    <x v="10"/>
    <n v="12.9"/>
    <n v="2.8"/>
    <n v="0.36119999999999997"/>
    <n v="1"/>
    <s v=""/>
  </r>
  <r>
    <x v="1205"/>
    <x v="9"/>
    <n v="13.9"/>
    <n v="0.6"/>
    <n v="8.3400000000000002E-2"/>
    <n v="2"/>
    <s v=""/>
  </r>
  <r>
    <x v="1206"/>
    <x v="25"/>
    <n v="27.6"/>
    <n v="0.6"/>
    <n v="0.1656"/>
    <n v="3"/>
    <s v=""/>
  </r>
  <r>
    <x v="1207"/>
    <x v="7"/>
    <n v="18.600000000000001"/>
    <n v="21.5"/>
    <n v="3.9990000000000006"/>
    <n v="4"/>
    <s v=""/>
  </r>
  <r>
    <x v="1208"/>
    <x v="2"/>
    <n v="17.8"/>
    <n v="0"/>
    <n v="0"/>
    <n v="5"/>
    <s v=""/>
  </r>
  <r>
    <x v="1209"/>
    <x v="11"/>
    <n v="20.8"/>
    <n v="8.5"/>
    <n v="1.768"/>
    <n v="6"/>
    <s v=""/>
  </r>
  <r>
    <x v="1210"/>
    <x v="18"/>
    <n v="16.399999999999999"/>
    <n v="6.8"/>
    <n v="1.1151999999999997"/>
    <n v="7"/>
    <n v="128"/>
  </r>
  <r>
    <x v="1211"/>
    <x v="23"/>
    <n v="14.6"/>
    <n v="0"/>
    <n v="0"/>
    <n v="1"/>
    <s v=""/>
  </r>
  <r>
    <x v="1212"/>
    <x v="5"/>
    <n v="27.1"/>
    <n v="1.2"/>
    <n v="0.32520000000000004"/>
    <n v="2"/>
    <s v=""/>
  </r>
  <r>
    <x v="1213"/>
    <x v="6"/>
    <n v="18.3"/>
    <n v="3.7"/>
    <n v="0.67710000000000004"/>
    <n v="3"/>
    <s v=""/>
  </r>
  <r>
    <x v="1214"/>
    <x v="25"/>
    <n v="27.1"/>
    <n v="0.2"/>
    <n v="5.4200000000000005E-2"/>
    <n v="4"/>
    <s v=""/>
  </r>
  <r>
    <x v="1215"/>
    <x v="11"/>
    <n v="12.9"/>
    <n v="10.199999999999999"/>
    <n v="1.3157999999999999"/>
    <n v="5"/>
    <s v=""/>
  </r>
  <r>
    <x v="1216"/>
    <x v="15"/>
    <n v="19.100000000000001"/>
    <n v="19.600000000000001"/>
    <n v="3.7436000000000007"/>
    <n v="6"/>
    <s v=""/>
  </r>
  <r>
    <x v="1217"/>
    <x v="2"/>
    <n v="19.2"/>
    <n v="3.6"/>
    <n v="0.69120000000000004"/>
    <n v="7"/>
    <n v="138.29999999999998"/>
  </r>
  <r>
    <x v="1218"/>
    <x v="5"/>
    <n v="25.2"/>
    <n v="0"/>
    <n v="0"/>
    <n v="1"/>
    <s v=""/>
  </r>
  <r>
    <x v="1219"/>
    <x v="11"/>
    <n v="13.5"/>
    <n v="6.3"/>
    <n v="0.85049999999999992"/>
    <n v="2"/>
    <s v=""/>
  </r>
  <r>
    <x v="1220"/>
    <x v="8"/>
    <n v="19.2"/>
    <n v="7.7"/>
    <n v="1.4783999999999999"/>
    <n v="3"/>
    <s v=""/>
  </r>
  <r>
    <x v="1221"/>
    <x v="10"/>
    <n v="24.1"/>
    <n v="7.8"/>
    <n v="1.8798000000000001"/>
    <n v="4"/>
    <s v=""/>
  </r>
  <r>
    <x v="1222"/>
    <x v="6"/>
    <n v="17.8"/>
    <n v="13.4"/>
    <n v="2.3852000000000002"/>
    <n v="5"/>
    <s v=""/>
  </r>
  <r>
    <x v="1223"/>
    <x v="3"/>
    <n v="24.7"/>
    <n v="21.1"/>
    <n v="5.2117000000000004"/>
    <n v="6"/>
    <s v=""/>
  </r>
  <r>
    <x v="1224"/>
    <x v="16"/>
    <n v="16.8"/>
    <n v="0"/>
    <n v="0"/>
    <n v="7"/>
    <n v="141.30000000000001"/>
  </r>
  <r>
    <x v="1225"/>
    <x v="1"/>
    <n v="10.7"/>
    <n v="3"/>
    <n v="0.32099999999999995"/>
    <n v="1"/>
    <s v=""/>
  </r>
  <r>
    <x v="1226"/>
    <x v="2"/>
    <n v="29.3"/>
    <n v="8.3000000000000007"/>
    <n v="2.4319000000000002"/>
    <n v="2"/>
    <s v=""/>
  </r>
  <r>
    <x v="1227"/>
    <x v="21"/>
    <n v="28.2"/>
    <n v="0"/>
    <n v="0"/>
    <n v="3"/>
    <s v=""/>
  </r>
  <r>
    <x v="1228"/>
    <x v="6"/>
    <n v="17.3"/>
    <n v="33.6"/>
    <n v="5.8128000000000011"/>
    <n v="4"/>
    <s v=""/>
  </r>
  <r>
    <x v="1229"/>
    <x v="2"/>
    <n v="24.6"/>
    <n v="0"/>
    <n v="0"/>
    <n v="5"/>
    <s v=""/>
  </r>
  <r>
    <x v="1230"/>
    <x v="8"/>
    <n v="12.6"/>
    <n v="0.6"/>
    <n v="7.5600000000000001E-2"/>
    <n v="6"/>
    <s v=""/>
  </r>
  <r>
    <x v="1231"/>
    <x v="15"/>
    <n v="27.3"/>
    <n v="0"/>
    <n v="0"/>
    <n v="7"/>
    <n v="150"/>
  </r>
  <r>
    <x v="1232"/>
    <x v="4"/>
    <n v="14.4"/>
    <n v="2"/>
    <n v="0.28800000000000003"/>
    <n v="1"/>
    <s v=""/>
  </r>
  <r>
    <x v="1233"/>
    <x v="6"/>
    <n v="11.2"/>
    <n v="32.6"/>
    <n v="3.6512000000000002"/>
    <n v="2"/>
    <s v=""/>
  </r>
  <r>
    <x v="1234"/>
    <x v="15"/>
    <n v="11.4"/>
    <n v="5.5"/>
    <n v="0.627"/>
    <n v="3"/>
    <s v=""/>
  </r>
  <r>
    <x v="1235"/>
    <x v="10"/>
    <n v="22.9"/>
    <n v="0"/>
    <n v="0"/>
    <n v="4"/>
    <s v=""/>
  </r>
  <r>
    <x v="1236"/>
    <x v="3"/>
    <n v="14.3"/>
    <n v="13.2"/>
    <n v="1.8875999999999999"/>
    <n v="5"/>
    <s v=""/>
  </r>
  <r>
    <x v="1237"/>
    <x v="6"/>
    <n v="22.9"/>
    <n v="22.9"/>
    <n v="5.2440999999999995"/>
    <n v="6"/>
    <s v=""/>
  </r>
  <r>
    <x v="1238"/>
    <x v="7"/>
    <n v="11.8"/>
    <n v="0"/>
    <n v="0"/>
    <n v="7"/>
    <n v="108.89999999999999"/>
  </r>
  <r>
    <x v="1239"/>
    <x v="14"/>
    <n v="24.5"/>
    <n v="0"/>
    <n v="0"/>
    <n v="1"/>
    <s v=""/>
  </r>
  <r>
    <x v="1240"/>
    <x v="11"/>
    <n v="25.5"/>
    <n v="19.3"/>
    <n v="4.9215"/>
    <n v="2"/>
    <s v=""/>
  </r>
  <r>
    <x v="1241"/>
    <x v="15"/>
    <n v="14.7"/>
    <n v="18.3"/>
    <n v="2.6900999999999997"/>
    <n v="3"/>
    <s v=""/>
  </r>
  <r>
    <x v="1242"/>
    <x v="11"/>
    <n v="28.7"/>
    <n v="0"/>
    <n v="0"/>
    <n v="4"/>
    <s v=""/>
  </r>
  <r>
    <x v="1243"/>
    <x v="6"/>
    <n v="16.7"/>
    <n v="0"/>
    <n v="0"/>
    <n v="5"/>
    <s v=""/>
  </r>
  <r>
    <x v="1244"/>
    <x v="11"/>
    <n v="17.399999999999999"/>
    <n v="13.7"/>
    <n v="2.3837999999999995"/>
    <n v="6"/>
    <s v=""/>
  </r>
  <r>
    <x v="1245"/>
    <x v="6"/>
    <n v="15.6"/>
    <n v="0"/>
    <n v="0"/>
    <n v="7"/>
    <n v="143.1"/>
  </r>
  <r>
    <x v="1246"/>
    <x v="15"/>
    <n v="21.7"/>
    <n v="0"/>
    <n v="0"/>
    <n v="1"/>
    <s v=""/>
  </r>
  <r>
    <x v="1247"/>
    <x v="3"/>
    <n v="26"/>
    <n v="0"/>
    <n v="0"/>
    <n v="2"/>
    <s v=""/>
  </r>
  <r>
    <x v="1248"/>
    <x v="18"/>
    <n v="24.5"/>
    <n v="9"/>
    <n v="2.2050000000000001"/>
    <n v="3"/>
    <s v=""/>
  </r>
  <r>
    <x v="1249"/>
    <x v="13"/>
    <n v="23.2"/>
    <n v="0"/>
    <n v="0"/>
    <n v="4"/>
    <s v=""/>
  </r>
  <r>
    <x v="1250"/>
    <x v="20"/>
    <n v="17.600000000000001"/>
    <n v="0.8"/>
    <n v="0.14080000000000001"/>
    <n v="5"/>
    <s v=""/>
  </r>
  <r>
    <x v="1251"/>
    <x v="3"/>
    <n v="13.9"/>
    <n v="8.8000000000000007"/>
    <n v="1.2232000000000001"/>
    <n v="6"/>
    <s v=""/>
  </r>
  <r>
    <x v="1252"/>
    <x v="23"/>
    <n v="20.7"/>
    <n v="4.3"/>
    <n v="0.89009999999999989"/>
    <n v="7"/>
    <n v="147.6"/>
  </r>
  <r>
    <x v="1253"/>
    <x v="1"/>
    <n v="10.1"/>
    <n v="1.7"/>
    <n v="0.17169999999999999"/>
    <n v="1"/>
    <s v=""/>
  </r>
  <r>
    <x v="1254"/>
    <x v="3"/>
    <n v="26.2"/>
    <n v="22.7"/>
    <n v="5.9474"/>
    <n v="2"/>
    <s v=""/>
  </r>
  <r>
    <x v="1255"/>
    <x v="15"/>
    <n v="27.6"/>
    <n v="13.8"/>
    <n v="3.8088000000000006"/>
    <n v="3"/>
    <s v=""/>
  </r>
  <r>
    <x v="1256"/>
    <x v="2"/>
    <n v="20.6"/>
    <n v="4.7"/>
    <n v="0.96820000000000006"/>
    <n v="4"/>
    <s v=""/>
  </r>
  <r>
    <x v="1257"/>
    <x v="5"/>
    <n v="21.4"/>
    <n v="5"/>
    <n v="1.07"/>
    <n v="5"/>
    <s v=""/>
  </r>
  <r>
    <x v="1258"/>
    <x v="2"/>
    <n v="17.100000000000001"/>
    <n v="0"/>
    <n v="0"/>
    <n v="6"/>
    <s v=""/>
  </r>
  <r>
    <x v="1259"/>
    <x v="6"/>
    <n v="19.5"/>
    <n v="20.5"/>
    <n v="3.9975000000000001"/>
    <n v="7"/>
    <n v="142.5"/>
  </r>
  <r>
    <x v="1260"/>
    <x v="9"/>
    <n v="15.9"/>
    <n v="0"/>
    <n v="0"/>
    <n v="1"/>
    <s v=""/>
  </r>
  <r>
    <x v="1261"/>
    <x v="6"/>
    <n v="21.1"/>
    <n v="46.8"/>
    <n v="9.8748000000000005"/>
    <n v="2"/>
    <s v=""/>
  </r>
  <r>
    <x v="1262"/>
    <x v="15"/>
    <n v="20.2"/>
    <n v="36.6"/>
    <n v="7.3932000000000002"/>
    <n v="3"/>
    <s v=""/>
  </r>
  <r>
    <x v="1263"/>
    <x v="8"/>
    <n v="25"/>
    <n v="7.8"/>
    <n v="1.95"/>
    <n v="4"/>
    <s v=""/>
  </r>
  <r>
    <x v="1264"/>
    <x v="6"/>
    <n v="22.1"/>
    <n v="8.8000000000000007"/>
    <n v="1.9448000000000001"/>
    <n v="5"/>
    <s v=""/>
  </r>
  <r>
    <x v="1265"/>
    <x v="29"/>
    <n v="28.9"/>
    <n v="0.5"/>
    <n v="0.14449999999999999"/>
    <n v="6"/>
    <s v=""/>
  </r>
  <r>
    <x v="1266"/>
    <x v="7"/>
    <n v="19.600000000000001"/>
    <n v="0"/>
    <n v="0"/>
    <n v="7"/>
    <n v="152.80000000000001"/>
  </r>
  <r>
    <x v="1267"/>
    <x v="3"/>
    <n v="18"/>
    <n v="13.2"/>
    <n v="2.3759999999999999"/>
    <n v="1"/>
    <s v=""/>
  </r>
  <r>
    <x v="1268"/>
    <x v="8"/>
    <n v="28.3"/>
    <n v="0"/>
    <n v="0"/>
    <n v="2"/>
    <s v=""/>
  </r>
  <r>
    <x v="1269"/>
    <x v="2"/>
    <n v="25.2"/>
    <n v="0"/>
    <n v="0"/>
    <n v="3"/>
    <s v=""/>
  </r>
  <r>
    <x v="1270"/>
    <x v="6"/>
    <n v="22.5"/>
    <n v="0"/>
    <n v="0"/>
    <n v="4"/>
    <s v=""/>
  </r>
  <r>
    <x v="1271"/>
    <x v="9"/>
    <n v="19.899999999999999"/>
    <n v="6.7"/>
    <n v="1.3332999999999999"/>
    <n v="5"/>
    <s v=""/>
  </r>
  <r>
    <x v="1272"/>
    <x v="7"/>
    <n v="10.8"/>
    <n v="19.600000000000001"/>
    <n v="2.1168000000000005"/>
    <n v="6"/>
    <s v=""/>
  </r>
  <r>
    <x v="1273"/>
    <x v="15"/>
    <n v="18.399999999999999"/>
    <n v="0.6"/>
    <n v="0.1104"/>
    <n v="7"/>
    <n v="143.1"/>
  </r>
  <r>
    <x v="1274"/>
    <x v="22"/>
    <n v="27.6"/>
    <n v="3.7"/>
    <n v="1.0212000000000001"/>
    <n v="1"/>
    <s v=""/>
  </r>
  <r>
    <x v="1275"/>
    <x v="22"/>
    <n v="11.3"/>
    <n v="1.9"/>
    <n v="0.2147"/>
    <n v="2"/>
    <s v=""/>
  </r>
  <r>
    <x v="1276"/>
    <x v="22"/>
    <n v="28.7"/>
    <n v="0"/>
    <n v="0"/>
    <n v="3"/>
    <s v=""/>
  </r>
  <r>
    <x v="1277"/>
    <x v="17"/>
    <n v="15"/>
    <n v="1.7"/>
    <n v="0.255"/>
    <n v="4"/>
    <s v=""/>
  </r>
  <r>
    <x v="1278"/>
    <x v="3"/>
    <n v="15.1"/>
    <n v="13.5"/>
    <n v="2.0385"/>
    <n v="5"/>
    <s v=""/>
  </r>
  <r>
    <x v="1279"/>
    <x v="15"/>
    <n v="19.399999999999999"/>
    <n v="29.6"/>
    <n v="5.7423999999999999"/>
    <n v="6"/>
    <s v=""/>
  </r>
  <r>
    <x v="1280"/>
    <x v="3"/>
    <n v="21.9"/>
    <n v="1.6"/>
    <n v="0.35039999999999999"/>
    <n v="7"/>
    <n v="139"/>
  </r>
  <r>
    <x v="1281"/>
    <x v="14"/>
    <n v="19.399999999999999"/>
    <n v="9.8000000000000007"/>
    <n v="1.9012"/>
    <n v="1"/>
    <s v=""/>
  </r>
  <r>
    <x v="1282"/>
    <x v="3"/>
    <n v="21.8"/>
    <n v="18.5"/>
    <n v="4.0330000000000004"/>
    <n v="2"/>
    <s v=""/>
  </r>
  <r>
    <x v="1283"/>
    <x v="13"/>
    <n v="29.3"/>
    <n v="2.8"/>
    <n v="0.82039999999999991"/>
    <n v="3"/>
    <s v=""/>
  </r>
  <r>
    <x v="1284"/>
    <x v="15"/>
    <n v="14.4"/>
    <n v="0"/>
    <n v="0"/>
    <n v="4"/>
    <s v=""/>
  </r>
  <r>
    <x v="1285"/>
    <x v="6"/>
    <n v="14.5"/>
    <n v="0"/>
    <n v="0"/>
    <n v="5"/>
    <s v=""/>
  </r>
  <r>
    <x v="1286"/>
    <x v="11"/>
    <n v="18.399999999999999"/>
    <n v="10.1"/>
    <n v="1.8583999999999998"/>
    <n v="6"/>
    <s v=""/>
  </r>
  <r>
    <x v="1287"/>
    <x v="14"/>
    <n v="29.8"/>
    <n v="0"/>
    <n v="0"/>
    <n v="7"/>
    <n v="147.60000000000002"/>
  </r>
  <r>
    <x v="1288"/>
    <x v="3"/>
    <n v="27.3"/>
    <n v="18.600000000000001"/>
    <n v="5.0777999999999999"/>
    <n v="1"/>
    <s v=""/>
  </r>
  <r>
    <x v="1289"/>
    <x v="5"/>
    <n v="22.7"/>
    <n v="0"/>
    <n v="0"/>
    <n v="2"/>
    <s v=""/>
  </r>
  <r>
    <x v="1290"/>
    <x v="6"/>
    <n v="27.3"/>
    <n v="18.399999999999999"/>
    <n v="5.0232000000000001"/>
    <n v="3"/>
    <s v=""/>
  </r>
  <r>
    <x v="1291"/>
    <x v="14"/>
    <n v="12.9"/>
    <n v="0"/>
    <n v="0"/>
    <n v="4"/>
    <s v=""/>
  </r>
  <r>
    <x v="1292"/>
    <x v="15"/>
    <n v="24.3"/>
    <n v="1.9"/>
    <n v="0.4617"/>
    <n v="5"/>
    <s v=""/>
  </r>
  <r>
    <x v="1293"/>
    <x v="14"/>
    <n v="20.6"/>
    <n v="14.6"/>
    <n v="3.0076000000000001"/>
    <n v="6"/>
    <s v=""/>
  </r>
  <r>
    <x v="1294"/>
    <x v="1"/>
    <n v="24.2"/>
    <n v="0"/>
    <n v="0"/>
    <n v="7"/>
    <n v="159.29999999999998"/>
  </r>
  <r>
    <x v="1295"/>
    <x v="6"/>
    <n v="15.2"/>
    <n v="0"/>
    <n v="0"/>
    <n v="1"/>
    <s v=""/>
  </r>
  <r>
    <x v="1296"/>
    <x v="21"/>
    <n v="27.3"/>
    <n v="2.5"/>
    <n v="0.6825"/>
    <n v="2"/>
    <s v=""/>
  </r>
  <r>
    <x v="1297"/>
    <x v="21"/>
    <n v="28"/>
    <n v="0"/>
    <n v="0"/>
    <n v="3"/>
    <s v=""/>
  </r>
  <r>
    <x v="1298"/>
    <x v="27"/>
    <n v="16.100000000000001"/>
    <n v="0"/>
    <n v="0"/>
    <n v="4"/>
    <s v=""/>
  </r>
  <r>
    <x v="1299"/>
    <x v="15"/>
    <n v="18.8"/>
    <n v="16.899999999999999"/>
    <n v="3.1771999999999996"/>
    <n v="5"/>
    <s v=""/>
  </r>
  <r>
    <x v="1300"/>
    <x v="6"/>
    <n v="13.2"/>
    <n v="10.4"/>
    <n v="1.3728"/>
    <n v="6"/>
    <s v=""/>
  </r>
  <r>
    <x v="1301"/>
    <x v="1"/>
    <n v="17.899999999999999"/>
    <n v="3.5"/>
    <n v="0.62649999999999995"/>
    <n v="7"/>
    <n v="136.5"/>
  </r>
  <r>
    <x v="1302"/>
    <x v="3"/>
    <n v="18.3"/>
    <n v="16.7"/>
    <n v="3.0561000000000003"/>
    <n v="1"/>
    <s v=""/>
  </r>
  <r>
    <x v="1303"/>
    <x v="13"/>
    <n v="25.7"/>
    <n v="2"/>
    <n v="0.51400000000000001"/>
    <n v="2"/>
    <s v=""/>
  </r>
  <r>
    <x v="1304"/>
    <x v="6"/>
    <n v="29.2"/>
    <n v="31.5"/>
    <n v="9.1980000000000004"/>
    <n v="3"/>
    <s v=""/>
  </r>
  <r>
    <x v="1305"/>
    <x v="3"/>
    <n v="21.5"/>
    <n v="0"/>
    <n v="0"/>
    <n v="4"/>
    <s v=""/>
  </r>
  <r>
    <x v="1306"/>
    <x v="7"/>
    <n v="29.5"/>
    <n v="12.2"/>
    <n v="3.5989999999999998"/>
    <n v="5"/>
    <s v=""/>
  </r>
  <r>
    <x v="1307"/>
    <x v="3"/>
    <n v="17.7"/>
    <n v="10.1"/>
    <n v="1.7876999999999998"/>
    <n v="6"/>
    <s v=""/>
  </r>
  <r>
    <x v="1308"/>
    <x v="15"/>
    <n v="26.7"/>
    <n v="1.2"/>
    <n v="0.32040000000000002"/>
    <n v="7"/>
    <n v="168.6"/>
  </r>
  <r>
    <x v="1309"/>
    <x v="6"/>
    <n v="13.3"/>
    <n v="0.5"/>
    <n v="6.6500000000000004E-2"/>
    <n v="1"/>
    <s v=""/>
  </r>
  <r>
    <x v="1310"/>
    <x v="3"/>
    <n v="13.4"/>
    <n v="23.4"/>
    <n v="3.1356000000000002"/>
    <n v="2"/>
    <s v=""/>
  </r>
  <r>
    <x v="1311"/>
    <x v="7"/>
    <n v="22.1"/>
    <n v="17.7"/>
    <n v="3.9117000000000002"/>
    <n v="3"/>
    <s v=""/>
  </r>
  <r>
    <x v="1312"/>
    <x v="18"/>
    <n v="11.4"/>
    <n v="0"/>
    <n v="0"/>
    <n v="4"/>
    <s v=""/>
  </r>
  <r>
    <x v="1313"/>
    <x v="11"/>
    <n v="26"/>
    <n v="4.9000000000000004"/>
    <n v="1.274"/>
    <n v="5"/>
    <s v=""/>
  </r>
  <r>
    <x v="1314"/>
    <x v="11"/>
    <n v="27.8"/>
    <n v="6.7"/>
    <n v="1.8626000000000003"/>
    <n v="6"/>
    <s v=""/>
  </r>
  <r>
    <x v="1315"/>
    <x v="3"/>
    <n v="29.3"/>
    <n v="1.7"/>
    <n v="0.49810000000000004"/>
    <n v="7"/>
    <n v="143.30000000000001"/>
  </r>
  <r>
    <x v="1316"/>
    <x v="19"/>
    <n v="24.7"/>
    <n v="2.5"/>
    <n v="0.61750000000000005"/>
    <n v="1"/>
    <s v=""/>
  </r>
  <r>
    <x v="1317"/>
    <x v="0"/>
    <n v="16.600000000000001"/>
    <n v="0.1"/>
    <n v="1.66E-2"/>
    <n v="2"/>
    <s v=""/>
  </r>
  <r>
    <x v="1318"/>
    <x v="14"/>
    <n v="27.5"/>
    <n v="0"/>
    <n v="0"/>
    <n v="3"/>
    <s v=""/>
  </r>
  <r>
    <x v="1319"/>
    <x v="11"/>
    <n v="22.7"/>
    <n v="0"/>
    <n v="0"/>
    <n v="4"/>
    <s v=""/>
  </r>
  <r>
    <x v="1320"/>
    <x v="8"/>
    <n v="20.100000000000001"/>
    <n v="10.5"/>
    <n v="2.1105"/>
    <n v="5"/>
    <s v=""/>
  </r>
  <r>
    <x v="1321"/>
    <x v="3"/>
    <n v="16.100000000000001"/>
    <n v="8.1"/>
    <n v="1.3041"/>
    <n v="6"/>
    <s v=""/>
  </r>
  <r>
    <x v="1322"/>
    <x v="3"/>
    <n v="13.9"/>
    <n v="0"/>
    <n v="0"/>
    <n v="7"/>
    <n v="141.6"/>
  </r>
  <r>
    <x v="1323"/>
    <x v="8"/>
    <n v="22.3"/>
    <n v="0"/>
    <n v="0"/>
    <n v="1"/>
    <s v=""/>
  </r>
  <r>
    <x v="1324"/>
    <x v="22"/>
    <n v="13"/>
    <n v="0"/>
    <n v="0"/>
    <n v="2"/>
    <s v=""/>
  </r>
  <r>
    <x v="1325"/>
    <x v="7"/>
    <n v="16.2"/>
    <n v="0"/>
    <n v="0"/>
    <n v="3"/>
    <s v=""/>
  </r>
  <r>
    <x v="1326"/>
    <x v="10"/>
    <n v="24.8"/>
    <n v="0"/>
    <n v="0"/>
    <n v="4"/>
    <s v=""/>
  </r>
  <r>
    <x v="1327"/>
    <x v="9"/>
    <n v="29.7"/>
    <n v="0"/>
    <n v="0"/>
    <n v="5"/>
    <s v=""/>
  </r>
  <r>
    <x v="1328"/>
    <x v="6"/>
    <n v="17.600000000000001"/>
    <n v="14.7"/>
    <n v="2.5872000000000002"/>
    <n v="6"/>
    <s v=""/>
  </r>
  <r>
    <x v="1329"/>
    <x v="6"/>
    <n v="10.4"/>
    <n v="27.7"/>
    <n v="2.8807999999999998"/>
    <n v="7"/>
    <n v="134"/>
  </r>
  <r>
    <x v="1330"/>
    <x v="11"/>
    <n v="17"/>
    <n v="1.1000000000000001"/>
    <n v="0.18700000000000003"/>
    <n v="1"/>
    <s v=""/>
  </r>
  <r>
    <x v="1331"/>
    <x v="14"/>
    <n v="15.7"/>
    <n v="5.9"/>
    <n v="0.9262999999999999"/>
    <n v="2"/>
    <s v=""/>
  </r>
  <r>
    <x v="1332"/>
    <x v="15"/>
    <n v="23.8"/>
    <n v="4.3"/>
    <n v="1.0234000000000001"/>
    <n v="3"/>
    <s v=""/>
  </r>
  <r>
    <x v="1333"/>
    <x v="7"/>
    <n v="16.2"/>
    <n v="8.6999999999999993"/>
    <n v="1.4093999999999998"/>
    <n v="4"/>
    <s v=""/>
  </r>
  <r>
    <x v="1334"/>
    <x v="1"/>
    <n v="23.3"/>
    <n v="5.8"/>
    <n v="1.3513999999999999"/>
    <n v="5"/>
    <s v=""/>
  </r>
  <r>
    <x v="1335"/>
    <x v="3"/>
    <n v="18.7"/>
    <n v="1.1000000000000001"/>
    <n v="0.20569999999999999"/>
    <n v="6"/>
    <s v=""/>
  </r>
  <r>
    <x v="1336"/>
    <x v="13"/>
    <n v="27.9"/>
    <n v="2.6"/>
    <n v="0.72539999999999993"/>
    <n v="7"/>
    <n v="142.6"/>
  </r>
  <r>
    <x v="1337"/>
    <x v="14"/>
    <n v="19.8"/>
    <n v="0"/>
    <n v="0"/>
    <n v="1"/>
    <s v=""/>
  </r>
  <r>
    <x v="1338"/>
    <x v="7"/>
    <n v="16.7"/>
    <n v="3.5"/>
    <n v="0.58449999999999991"/>
    <n v="2"/>
    <s v=""/>
  </r>
  <r>
    <x v="1339"/>
    <x v="19"/>
    <n v="28.6"/>
    <n v="0"/>
    <n v="0"/>
    <n v="3"/>
    <s v=""/>
  </r>
  <r>
    <x v="1340"/>
    <x v="6"/>
    <n v="10.8"/>
    <n v="32.9"/>
    <n v="3.5531999999999999"/>
    <n v="4"/>
    <s v=""/>
  </r>
  <r>
    <x v="1341"/>
    <x v="14"/>
    <n v="12.8"/>
    <n v="0"/>
    <n v="0"/>
    <n v="5"/>
    <s v=""/>
  </r>
  <r>
    <x v="1342"/>
    <x v="22"/>
    <n v="17.600000000000001"/>
    <n v="0"/>
    <n v="0"/>
    <n v="6"/>
    <s v=""/>
  </r>
  <r>
    <x v="1343"/>
    <x v="18"/>
    <n v="24.1"/>
    <n v="0"/>
    <n v="0"/>
    <n v="7"/>
    <n v="130.39999999999998"/>
  </r>
  <r>
    <x v="1344"/>
    <x v="7"/>
    <n v="11.4"/>
    <n v="18.2"/>
    <n v="2.0747999999999998"/>
    <n v="1"/>
    <s v=""/>
  </r>
  <r>
    <x v="1345"/>
    <x v="5"/>
    <n v="21.9"/>
    <n v="5.4"/>
    <n v="1.1826000000000001"/>
    <n v="2"/>
    <s v=""/>
  </r>
  <r>
    <x v="1346"/>
    <x v="22"/>
    <n v="16.8"/>
    <n v="1.6"/>
    <n v="0.26880000000000004"/>
    <n v="3"/>
    <s v=""/>
  </r>
  <r>
    <x v="1347"/>
    <x v="2"/>
    <n v="26"/>
    <n v="0"/>
    <n v="0"/>
    <n v="4"/>
    <s v=""/>
  </r>
  <r>
    <x v="1348"/>
    <x v="7"/>
    <n v="20.2"/>
    <n v="10"/>
    <n v="2.02"/>
    <n v="5"/>
    <s v=""/>
  </r>
  <r>
    <x v="1349"/>
    <x v="15"/>
    <n v="20.3"/>
    <n v="37.799999999999997"/>
    <n v="7.6733999999999991"/>
    <n v="6"/>
    <s v=""/>
  </r>
  <r>
    <x v="1350"/>
    <x v="3"/>
    <n v="27.5"/>
    <n v="20.8"/>
    <n v="5.72"/>
    <n v="7"/>
    <n v="144.1"/>
  </r>
  <r>
    <x v="1351"/>
    <x v="15"/>
    <n v="24.2"/>
    <n v="2.9"/>
    <n v="0.70179999999999998"/>
    <n v="1"/>
    <s v=""/>
  </r>
  <r>
    <x v="1352"/>
    <x v="7"/>
    <n v="10.7"/>
    <n v="14.3"/>
    <n v="1.5301"/>
    <n v="2"/>
    <s v=""/>
  </r>
  <r>
    <x v="1353"/>
    <x v="15"/>
    <n v="17.3"/>
    <n v="0"/>
    <n v="0"/>
    <n v="3"/>
    <s v=""/>
  </r>
  <r>
    <x v="1354"/>
    <x v="7"/>
    <n v="13.5"/>
    <n v="21.1"/>
    <n v="2.8485"/>
    <n v="4"/>
    <s v=""/>
  </r>
  <r>
    <x v="1355"/>
    <x v="2"/>
    <n v="13.6"/>
    <n v="6"/>
    <n v="0.81599999999999995"/>
    <n v="5"/>
    <s v=""/>
  </r>
  <r>
    <x v="1356"/>
    <x v="1"/>
    <n v="19.899999999999999"/>
    <n v="0"/>
    <n v="0"/>
    <n v="6"/>
    <s v=""/>
  </r>
  <r>
    <x v="1357"/>
    <x v="14"/>
    <n v="13.1"/>
    <n v="10.199999999999999"/>
    <n v="1.3361999999999998"/>
    <n v="7"/>
    <n v="112.29999999999998"/>
  </r>
  <r>
    <x v="1358"/>
    <x v="17"/>
    <n v="29.8"/>
    <n v="1.9"/>
    <n v="0.56619999999999993"/>
    <n v="1"/>
    <s v=""/>
  </r>
  <r>
    <x v="1359"/>
    <x v="24"/>
    <n v="23.7"/>
    <n v="0.3"/>
    <n v="7.1099999999999997E-2"/>
    <n v="2"/>
    <s v=""/>
  </r>
  <r>
    <x v="1360"/>
    <x v="15"/>
    <n v="14"/>
    <n v="0"/>
    <n v="0"/>
    <n v="3"/>
    <s v=""/>
  </r>
  <r>
    <x v="1361"/>
    <x v="26"/>
    <n v="19"/>
    <n v="0.5"/>
    <n v="9.5000000000000001E-2"/>
    <n v="4"/>
    <s v=""/>
  </r>
  <r>
    <x v="1362"/>
    <x v="28"/>
    <n v="23.9"/>
    <n v="0.5"/>
    <n v="0.1195"/>
    <n v="5"/>
    <s v=""/>
  </r>
  <r>
    <x v="1363"/>
    <x v="15"/>
    <n v="12.8"/>
    <n v="26.7"/>
    <n v="3.4175999999999997"/>
    <n v="6"/>
    <s v=""/>
  </r>
  <r>
    <x v="1364"/>
    <x v="3"/>
    <n v="26.9"/>
    <n v="4.5"/>
    <n v="1.2104999999999999"/>
    <n v="7"/>
    <n v="150.1"/>
  </r>
  <r>
    <x v="1365"/>
    <x v="22"/>
    <n v="10.6"/>
    <n v="0"/>
    <n v="0"/>
    <n v="1"/>
    <s v=""/>
  </r>
  <r>
    <x v="1366"/>
    <x v="7"/>
    <n v="21.1"/>
    <n v="10.6"/>
    <n v="2.2366000000000001"/>
    <n v="2"/>
    <s v=""/>
  </r>
  <r>
    <x v="1367"/>
    <x v="2"/>
    <n v="11.7"/>
    <n v="9.9"/>
    <n v="1.1582999999999999"/>
    <n v="3"/>
    <s v=""/>
  </r>
  <r>
    <x v="1368"/>
    <x v="4"/>
    <n v="20.5"/>
    <n v="3.7"/>
    <n v="0.75850000000000006"/>
    <n v="4"/>
    <s v=""/>
  </r>
  <r>
    <x v="1369"/>
    <x v="15"/>
    <n v="27.4"/>
    <n v="10.4"/>
    <n v="2.8495999999999997"/>
    <n v="5"/>
    <s v=""/>
  </r>
  <r>
    <x v="1370"/>
    <x v="6"/>
    <n v="15.8"/>
    <n v="10.199999999999999"/>
    <n v="1.6115999999999999"/>
    <n v="6"/>
    <s v=""/>
  </r>
  <r>
    <x v="1371"/>
    <x v="15"/>
    <n v="19.600000000000001"/>
    <n v="0"/>
    <n v="0"/>
    <n v="7"/>
    <n v="126.70000000000002"/>
  </r>
  <r>
    <x v="1372"/>
    <x v="6"/>
    <n v="16.899999999999999"/>
    <n v="48.4"/>
    <n v="8.1795999999999989"/>
    <n v="1"/>
    <s v=""/>
  </r>
  <r>
    <x v="1373"/>
    <x v="15"/>
    <n v="12.2"/>
    <n v="0"/>
    <n v="0"/>
    <n v="2"/>
    <s v=""/>
  </r>
  <r>
    <x v="1374"/>
    <x v="6"/>
    <n v="16.600000000000001"/>
    <n v="14.1"/>
    <n v="2.3406000000000002"/>
    <n v="3"/>
    <s v=""/>
  </r>
  <r>
    <x v="1375"/>
    <x v="7"/>
    <n v="27.6"/>
    <n v="0"/>
    <n v="0"/>
    <n v="4"/>
    <s v=""/>
  </r>
  <r>
    <x v="1376"/>
    <x v="11"/>
    <n v="24.8"/>
    <n v="0"/>
    <n v="0"/>
    <n v="5"/>
    <s v=""/>
  </r>
  <r>
    <x v="1377"/>
    <x v="6"/>
    <n v="23.1"/>
    <n v="29.8"/>
    <n v="6.8838000000000008"/>
    <n v="6"/>
    <s v=""/>
  </r>
  <r>
    <x v="1378"/>
    <x v="23"/>
    <n v="12.4"/>
    <n v="6.1"/>
    <n v="0.75639999999999996"/>
    <n v="7"/>
    <n v="133.60000000000002"/>
  </r>
  <r>
    <x v="1379"/>
    <x v="15"/>
    <n v="13.9"/>
    <n v="21.5"/>
    <n v="2.9885000000000002"/>
    <n v="1"/>
    <s v=""/>
  </r>
  <r>
    <x v="1380"/>
    <x v="16"/>
    <n v="16.600000000000001"/>
    <n v="4.7"/>
    <n v="0.78020000000000012"/>
    <n v="2"/>
    <s v=""/>
  </r>
  <r>
    <x v="1381"/>
    <x v="9"/>
    <n v="17.7"/>
    <n v="14"/>
    <n v="2.4779999999999998"/>
    <n v="3"/>
    <s v=""/>
  </r>
  <r>
    <x v="1382"/>
    <x v="7"/>
    <n v="19"/>
    <n v="1.7"/>
    <n v="0.32299999999999995"/>
    <n v="4"/>
    <s v=""/>
  </r>
  <r>
    <x v="1383"/>
    <x v="3"/>
    <n v="29.9"/>
    <n v="0"/>
    <n v="0"/>
    <n v="5"/>
    <s v=""/>
  </r>
  <r>
    <x v="1384"/>
    <x v="15"/>
    <n v="23.7"/>
    <n v="31.4"/>
    <n v="7.4417999999999997"/>
    <n v="6"/>
    <s v=""/>
  </r>
  <r>
    <x v="1385"/>
    <x v="6"/>
    <n v="25.4"/>
    <n v="0"/>
    <n v="0"/>
    <n v="7"/>
    <n v="146.19999999999999"/>
  </r>
  <r>
    <x v="1386"/>
    <x v="14"/>
    <n v="24.3"/>
    <n v="15.8"/>
    <n v="3.8394000000000004"/>
    <n v="1"/>
    <s v=""/>
  </r>
  <r>
    <x v="1387"/>
    <x v="3"/>
    <n v="10.8"/>
    <n v="0"/>
    <n v="0"/>
    <n v="2"/>
    <s v=""/>
  </r>
  <r>
    <x v="1388"/>
    <x v="6"/>
    <n v="19"/>
    <n v="9.1"/>
    <n v="1.7290000000000001"/>
    <n v="3"/>
    <s v=""/>
  </r>
  <r>
    <x v="1389"/>
    <x v="11"/>
    <n v="27.8"/>
    <n v="15.2"/>
    <n v="4.2256"/>
    <n v="4"/>
    <s v=""/>
  </r>
  <r>
    <x v="1390"/>
    <x v="3"/>
    <n v="28.8"/>
    <n v="0"/>
    <n v="0"/>
    <n v="5"/>
    <s v=""/>
  </r>
  <r>
    <x v="1391"/>
    <x v="1"/>
    <n v="12.6"/>
    <n v="0.8"/>
    <n v="0.1008"/>
    <n v="6"/>
    <s v=""/>
  </r>
  <r>
    <x v="1392"/>
    <x v="1"/>
    <n v="20.7"/>
    <n v="0"/>
    <n v="0"/>
    <n v="7"/>
    <n v="144"/>
  </r>
  <r>
    <x v="1393"/>
    <x v="15"/>
    <n v="19.399999999999999"/>
    <n v="19.3"/>
    <n v="3.7441999999999998"/>
    <n v="1"/>
    <s v=""/>
  </r>
  <r>
    <x v="1394"/>
    <x v="6"/>
    <n v="24.3"/>
    <n v="8.8000000000000007"/>
    <n v="2.1384000000000003"/>
    <n v="2"/>
    <s v=""/>
  </r>
  <r>
    <x v="1395"/>
    <x v="15"/>
    <n v="21.2"/>
    <n v="36"/>
    <n v="7.6319999999999997"/>
    <n v="3"/>
    <s v=""/>
  </r>
  <r>
    <x v="1396"/>
    <x v="1"/>
    <n v="28.4"/>
    <n v="0"/>
    <n v="0"/>
    <n v="4"/>
    <s v=""/>
  </r>
  <r>
    <x v="1397"/>
    <x v="23"/>
    <n v="17.100000000000001"/>
    <n v="5.4"/>
    <n v="0.92340000000000022"/>
    <n v="5"/>
    <s v=""/>
  </r>
  <r>
    <x v="1398"/>
    <x v="6"/>
    <n v="24.4"/>
    <n v="23.8"/>
    <n v="5.8071999999999999"/>
    <n v="6"/>
    <s v=""/>
  </r>
  <r>
    <x v="1399"/>
    <x v="14"/>
    <n v="18.5"/>
    <n v="6"/>
    <n v="1.1100000000000001"/>
    <n v="7"/>
    <n v="153.30000000000001"/>
  </r>
  <r>
    <x v="1400"/>
    <x v="15"/>
    <n v="24.1"/>
    <n v="21.5"/>
    <n v="5.1814999999999998"/>
    <n v="1"/>
    <s v=""/>
  </r>
  <r>
    <x v="1401"/>
    <x v="18"/>
    <n v="17.899999999999999"/>
    <n v="5.4"/>
    <n v="0.96660000000000001"/>
    <n v="2"/>
    <s v=""/>
  </r>
  <r>
    <x v="1402"/>
    <x v="18"/>
    <n v="15.8"/>
    <n v="7.4"/>
    <n v="1.1692000000000002"/>
    <n v="3"/>
    <s v=""/>
  </r>
  <r>
    <x v="1403"/>
    <x v="26"/>
    <n v="19.600000000000001"/>
    <n v="0.3"/>
    <n v="5.8799999999999998E-2"/>
    <n v="4"/>
    <s v=""/>
  </r>
  <r>
    <x v="1404"/>
    <x v="15"/>
    <n v="17.7"/>
    <n v="0"/>
    <n v="0"/>
    <n v="5"/>
    <s v=""/>
  </r>
  <r>
    <x v="1405"/>
    <x v="23"/>
    <n v="19.899999999999999"/>
    <n v="4.7"/>
    <n v="0.93530000000000002"/>
    <n v="6"/>
    <s v=""/>
  </r>
  <r>
    <x v="1406"/>
    <x v="1"/>
    <n v="10.6"/>
    <n v="4.8"/>
    <n v="0.50879999999999992"/>
    <n v="7"/>
    <n v="125.6"/>
  </r>
  <r>
    <x v="1407"/>
    <x v="15"/>
    <n v="25.6"/>
    <n v="17.399999999999999"/>
    <n v="4.4543999999999997"/>
    <n v="1"/>
    <s v=""/>
  </r>
  <r>
    <x v="1408"/>
    <x v="5"/>
    <n v="22.4"/>
    <n v="7.7"/>
    <n v="1.7247999999999999"/>
    <n v="2"/>
    <s v=""/>
  </r>
  <r>
    <x v="1409"/>
    <x v="4"/>
    <n v="14.5"/>
    <n v="3.8"/>
    <n v="0.55099999999999993"/>
    <n v="3"/>
    <s v=""/>
  </r>
  <r>
    <x v="1410"/>
    <x v="5"/>
    <n v="15"/>
    <n v="4.2"/>
    <n v="0.63"/>
    <n v="4"/>
    <s v=""/>
  </r>
  <r>
    <x v="1411"/>
    <x v="9"/>
    <n v="24"/>
    <n v="11.5"/>
    <n v="2.76"/>
    <n v="5"/>
    <s v=""/>
  </r>
  <r>
    <x v="1412"/>
    <x v="19"/>
    <n v="20.7"/>
    <n v="2.9"/>
    <n v="0.60029999999999994"/>
    <n v="6"/>
    <s v=""/>
  </r>
  <r>
    <x v="1413"/>
    <x v="24"/>
    <n v="13.5"/>
    <n v="0.7"/>
    <n v="9.4499999999999987E-2"/>
    <n v="7"/>
    <n v="135.69999999999999"/>
  </r>
  <r>
    <x v="1414"/>
    <x v="15"/>
    <n v="23.7"/>
    <n v="13.1"/>
    <n v="3.1046999999999998"/>
    <n v="1"/>
    <s v=""/>
  </r>
  <r>
    <x v="1415"/>
    <x v="6"/>
    <n v="12.1"/>
    <n v="36"/>
    <n v="4.3559999999999999"/>
    <n v="2"/>
    <s v=""/>
  </r>
  <r>
    <x v="1416"/>
    <x v="9"/>
    <n v="21.8"/>
    <n v="10.9"/>
    <n v="2.3761999999999999"/>
    <n v="3"/>
    <s v=""/>
  </r>
  <r>
    <x v="1417"/>
    <x v="18"/>
    <n v="17.399999999999999"/>
    <n v="0"/>
    <n v="0"/>
    <n v="4"/>
    <s v=""/>
  </r>
  <r>
    <x v="1418"/>
    <x v="2"/>
    <n v="15.6"/>
    <n v="0"/>
    <n v="0"/>
    <n v="5"/>
    <s v=""/>
  </r>
  <r>
    <x v="1419"/>
    <x v="9"/>
    <n v="13.7"/>
    <n v="0"/>
    <n v="0"/>
    <n v="6"/>
    <s v=""/>
  </r>
  <r>
    <x v="1420"/>
    <x v="6"/>
    <n v="24.7"/>
    <n v="16.2"/>
    <n v="4.0014000000000003"/>
    <n v="7"/>
    <n v="129"/>
  </r>
  <r>
    <x v="1421"/>
    <x v="11"/>
    <n v="25.3"/>
    <n v="14.2"/>
    <n v="3.5926"/>
    <n v="1"/>
    <s v=""/>
  </r>
  <r>
    <x v="1422"/>
    <x v="11"/>
    <n v="18.399999999999999"/>
    <n v="0"/>
    <n v="0"/>
    <n v="2"/>
    <s v=""/>
  </r>
  <r>
    <x v="1423"/>
    <x v="10"/>
    <n v="10.199999999999999"/>
    <n v="0"/>
    <n v="0"/>
    <n v="3"/>
    <s v=""/>
  </r>
  <r>
    <x v="1424"/>
    <x v="29"/>
    <n v="26.9"/>
    <n v="0"/>
    <n v="0"/>
    <n v="4"/>
    <s v=""/>
  </r>
  <r>
    <x v="1425"/>
    <x v="4"/>
    <n v="28.2"/>
    <n v="0"/>
    <n v="0"/>
    <n v="5"/>
    <s v=""/>
  </r>
  <r>
    <x v="1426"/>
    <x v="3"/>
    <n v="15.9"/>
    <n v="0"/>
    <n v="0"/>
    <n v="6"/>
    <s v=""/>
  </r>
  <r>
    <x v="1427"/>
    <x v="6"/>
    <n v="19.7"/>
    <n v="0"/>
    <n v="0"/>
    <n v="7"/>
    <n v="144.60000000000002"/>
  </r>
  <r>
    <x v="1428"/>
    <x v="3"/>
    <n v="16"/>
    <n v="0"/>
    <n v="0"/>
    <n v="1"/>
    <s v=""/>
  </r>
  <r>
    <x v="1429"/>
    <x v="2"/>
    <n v="20.8"/>
    <n v="0"/>
    <n v="0"/>
    <n v="2"/>
    <s v=""/>
  </r>
  <r>
    <x v="1430"/>
    <x v="19"/>
    <n v="12.5"/>
    <n v="0"/>
    <n v="0"/>
    <n v="3"/>
    <s v=""/>
  </r>
  <r>
    <x v="1431"/>
    <x v="11"/>
    <n v="12.7"/>
    <n v="2.4"/>
    <n v="0.30479999999999996"/>
    <n v="4"/>
    <s v=""/>
  </r>
  <r>
    <x v="1432"/>
    <x v="14"/>
    <n v="23.5"/>
    <n v="11.5"/>
    <n v="2.7025000000000001"/>
    <n v="5"/>
    <s v=""/>
  </r>
  <r>
    <x v="1433"/>
    <x v="10"/>
    <n v="17.8"/>
    <n v="1.8"/>
    <n v="0.32040000000000002"/>
    <n v="6"/>
    <s v=""/>
  </r>
  <r>
    <x v="1434"/>
    <x v="7"/>
    <n v="11"/>
    <n v="0"/>
    <n v="0"/>
    <n v="7"/>
    <n v="114.3"/>
  </r>
  <r>
    <x v="1435"/>
    <x v="8"/>
    <n v="21.3"/>
    <n v="5.2"/>
    <n v="1.1076000000000001"/>
    <n v="1"/>
    <s v=""/>
  </r>
  <r>
    <x v="1436"/>
    <x v="3"/>
    <n v="19.600000000000001"/>
    <n v="8.1"/>
    <n v="1.5875999999999999"/>
    <n v="2"/>
    <s v=""/>
  </r>
  <r>
    <x v="1437"/>
    <x v="7"/>
    <n v="25.7"/>
    <n v="4.2"/>
    <n v="1.0793999999999999"/>
    <n v="3"/>
    <s v=""/>
  </r>
  <r>
    <x v="1438"/>
    <x v="6"/>
    <n v="20.9"/>
    <n v="28.6"/>
    <n v="5.9774000000000003"/>
    <n v="4"/>
    <s v=""/>
  </r>
  <r>
    <x v="1439"/>
    <x v="15"/>
    <n v="26.4"/>
    <n v="3.2"/>
    <n v="0.8448"/>
    <n v="5"/>
    <s v=""/>
  </r>
  <r>
    <x v="1440"/>
    <x v="15"/>
    <n v="26.5"/>
    <n v="13.1"/>
    <n v="3.4714999999999998"/>
    <n v="6"/>
    <s v=""/>
  </r>
  <r>
    <x v="1441"/>
    <x v="4"/>
    <n v="11.7"/>
    <n v="0"/>
    <n v="0"/>
    <n v="7"/>
    <n v="152.1"/>
  </r>
  <r>
    <x v="1442"/>
    <x v="8"/>
    <n v="24.7"/>
    <n v="0.3"/>
    <n v="7.4099999999999999E-2"/>
    <n v="1"/>
    <s v=""/>
  </r>
  <r>
    <x v="1443"/>
    <x v="5"/>
    <n v="24.4"/>
    <n v="9.6"/>
    <n v="2.3423999999999996"/>
    <n v="2"/>
    <s v=""/>
  </r>
  <r>
    <x v="1444"/>
    <x v="15"/>
    <n v="19"/>
    <n v="28.8"/>
    <n v="5.4720000000000004"/>
    <n v="3"/>
    <s v=""/>
  </r>
  <r>
    <x v="1445"/>
    <x v="6"/>
    <n v="13.7"/>
    <n v="19.3"/>
    <n v="2.6440999999999999"/>
    <n v="4"/>
    <s v=""/>
  </r>
  <r>
    <x v="1446"/>
    <x v="6"/>
    <n v="28.9"/>
    <n v="20.399999999999999"/>
    <n v="5.8955999999999991"/>
    <n v="5"/>
    <s v=""/>
  </r>
  <r>
    <x v="1447"/>
    <x v="16"/>
    <n v="25.2"/>
    <n v="0"/>
    <n v="0"/>
    <n v="6"/>
    <s v=""/>
  </r>
  <r>
    <x v="1448"/>
    <x v="7"/>
    <n v="15.4"/>
    <n v="9"/>
    <n v="1.3859999999999999"/>
    <n v="7"/>
    <n v="151.29999999999998"/>
  </r>
  <r>
    <x v="1449"/>
    <x v="12"/>
    <n v="24.1"/>
    <n v="0.3"/>
    <n v="7.2300000000000003E-2"/>
    <n v="1"/>
    <s v=""/>
  </r>
  <r>
    <x v="1450"/>
    <x v="18"/>
    <n v="27.7"/>
    <n v="0"/>
    <n v="0"/>
    <n v="2"/>
    <s v=""/>
  </r>
  <r>
    <x v="1451"/>
    <x v="7"/>
    <n v="19.600000000000001"/>
    <n v="21.1"/>
    <n v="4.1356000000000002"/>
    <n v="3"/>
    <s v=""/>
  </r>
  <r>
    <x v="1452"/>
    <x v="19"/>
    <n v="29"/>
    <n v="3.2"/>
    <n v="0.92800000000000016"/>
    <n v="4"/>
    <s v=""/>
  </r>
  <r>
    <x v="1453"/>
    <x v="27"/>
    <n v="10.3"/>
    <n v="0.7"/>
    <n v="7.2099999999999997E-2"/>
    <n v="5"/>
    <s v=""/>
  </r>
  <r>
    <x v="1454"/>
    <x v="6"/>
    <n v="11"/>
    <n v="40.200000000000003"/>
    <n v="4.4220000000000006"/>
    <n v="6"/>
    <s v=""/>
  </r>
  <r>
    <x v="1455"/>
    <x v="7"/>
    <n v="28.6"/>
    <n v="0.6"/>
    <n v="0.1716"/>
    <n v="7"/>
    <n v="150.30000000000001"/>
  </r>
  <r>
    <x v="1456"/>
    <x v="13"/>
    <n v="22.5"/>
    <n v="1"/>
    <n v="0.22500000000000001"/>
    <n v="1"/>
    <s v=""/>
  </r>
  <r>
    <x v="1457"/>
    <x v="8"/>
    <n v="19.600000000000001"/>
    <n v="0"/>
    <n v="0"/>
    <n v="2"/>
    <s v=""/>
  </r>
  <r>
    <x v="1458"/>
    <x v="24"/>
    <n v="19.899999999999999"/>
    <n v="0"/>
    <n v="0"/>
    <n v="3"/>
    <s v=""/>
  </r>
  <r>
    <x v="1459"/>
    <x v="2"/>
    <n v="21.7"/>
    <n v="9.4"/>
    <n v="2.0398000000000001"/>
    <n v="4"/>
    <s v=""/>
  </r>
  <r>
    <x v="1460"/>
    <x v="8"/>
    <n v="15.3"/>
    <n v="0"/>
    <n v="0"/>
    <n v="5"/>
    <s v=""/>
  </r>
  <r>
    <x v="1461"/>
    <x v="11"/>
    <n v="20.9"/>
    <n v="12.4"/>
    <n v="2.5915999999999997"/>
    <n v="6"/>
    <s v=""/>
  </r>
  <r>
    <x v="1462"/>
    <x v="1"/>
    <n v="17"/>
    <n v="0"/>
    <n v="0"/>
    <n v="7"/>
    <n v="136.9"/>
  </r>
  <r>
    <x v="1463"/>
    <x v="2"/>
    <n v="25.8"/>
    <n v="1.4"/>
    <n v="0.36119999999999997"/>
    <n v="1"/>
    <s v=""/>
  </r>
  <r>
    <x v="1464"/>
    <x v="23"/>
    <n v="19.100000000000001"/>
    <n v="2.5"/>
    <n v="0.47749999999999998"/>
    <n v="2"/>
    <s v=""/>
  </r>
  <r>
    <x v="1465"/>
    <x v="9"/>
    <n v="24.6"/>
    <n v="12.5"/>
    <n v="3.0750000000000002"/>
    <n v="3"/>
    <s v=""/>
  </r>
  <r>
    <x v="1466"/>
    <x v="11"/>
    <n v="22.6"/>
    <n v="15.4"/>
    <n v="3.4804000000000004"/>
    <n v="4"/>
    <s v=""/>
  </r>
  <r>
    <x v="1467"/>
    <x v="5"/>
    <n v="18.3"/>
    <n v="4.7"/>
    <n v="0.86010000000000009"/>
    <n v="5"/>
    <s v=""/>
  </r>
  <r>
    <x v="1468"/>
    <x v="3"/>
    <n v="25.5"/>
    <n v="0"/>
    <n v="0"/>
    <n v="6"/>
    <s v=""/>
  </r>
  <r>
    <x v="1469"/>
    <x v="14"/>
    <n v="26.6"/>
    <n v="0"/>
    <n v="0"/>
    <n v="7"/>
    <n v="162.49999999999997"/>
  </r>
  <r>
    <x v="1470"/>
    <x v="3"/>
    <n v="19.8"/>
    <n v="14.9"/>
    <n v="2.9502000000000006"/>
    <n v="1"/>
    <s v=""/>
  </r>
  <r>
    <x v="1471"/>
    <x v="22"/>
    <n v="23.7"/>
    <n v="0.9"/>
    <n v="0.21329999999999999"/>
    <n v="2"/>
    <s v=""/>
  </r>
  <r>
    <x v="1472"/>
    <x v="20"/>
    <n v="23.5"/>
    <n v="1"/>
    <n v="0.23499999999999999"/>
    <n v="3"/>
    <s v=""/>
  </r>
  <r>
    <x v="1473"/>
    <x v="1"/>
    <n v="18.8"/>
    <n v="7.8"/>
    <n v="1.4664000000000001"/>
    <n v="4"/>
    <s v=""/>
  </r>
  <r>
    <x v="1474"/>
    <x v="2"/>
    <n v="18.7"/>
    <n v="10"/>
    <n v="1.87"/>
    <n v="5"/>
    <s v=""/>
  </r>
  <r>
    <x v="1475"/>
    <x v="15"/>
    <n v="28.3"/>
    <n v="21.8"/>
    <n v="6.1694000000000004"/>
    <n v="6"/>
    <s v=""/>
  </r>
  <r>
    <x v="1476"/>
    <x v="18"/>
    <n v="10.6"/>
    <n v="6.4"/>
    <n v="0.6784"/>
    <n v="7"/>
    <n v="143.4"/>
  </r>
  <r>
    <x v="1477"/>
    <x v="6"/>
    <n v="26.2"/>
    <n v="19.2"/>
    <n v="5.0303999999999993"/>
    <n v="1"/>
    <s v=""/>
  </r>
  <r>
    <x v="1478"/>
    <x v="9"/>
    <n v="25.3"/>
    <n v="8.6999999999999993"/>
    <n v="2.2010999999999998"/>
    <n v="2"/>
    <s v=""/>
  </r>
  <r>
    <x v="1479"/>
    <x v="18"/>
    <n v="21.6"/>
    <n v="1"/>
    <n v="0.21600000000000003"/>
    <n v="3"/>
    <s v=""/>
  </r>
  <r>
    <x v="1480"/>
    <x v="15"/>
    <n v="24.9"/>
    <n v="23.5"/>
    <n v="5.8514999999999997"/>
    <n v="4"/>
    <s v=""/>
  </r>
  <r>
    <x v="1481"/>
    <x v="11"/>
    <n v="27.7"/>
    <n v="11.5"/>
    <n v="3.1855000000000002"/>
    <n v="5"/>
    <s v=""/>
  </r>
  <r>
    <x v="1482"/>
    <x v="15"/>
    <n v="12.3"/>
    <n v="0"/>
    <n v="0"/>
    <n v="6"/>
    <s v=""/>
  </r>
  <r>
    <x v="1483"/>
    <x v="16"/>
    <n v="10.199999999999999"/>
    <n v="0.8"/>
    <n v="8.1600000000000006E-2"/>
    <n v="7"/>
    <n v="148.19999999999999"/>
  </r>
  <r>
    <x v="1484"/>
    <x v="6"/>
    <n v="23.1"/>
    <n v="0"/>
    <n v="0"/>
    <n v="1"/>
    <s v=""/>
  </r>
  <r>
    <x v="1485"/>
    <x v="14"/>
    <n v="11.3"/>
    <n v="0"/>
    <n v="0"/>
    <n v="2"/>
    <s v=""/>
  </r>
  <r>
    <x v="1486"/>
    <x v="15"/>
    <n v="29.5"/>
    <n v="10.4"/>
    <n v="3.0680000000000001"/>
    <n v="3"/>
    <s v=""/>
  </r>
  <r>
    <x v="1487"/>
    <x v="11"/>
    <n v="19.7"/>
    <n v="0"/>
    <n v="0"/>
    <n v="4"/>
    <s v=""/>
  </r>
  <r>
    <x v="1488"/>
    <x v="1"/>
    <n v="27.9"/>
    <n v="3.4"/>
    <n v="0.9486"/>
    <n v="5"/>
    <s v=""/>
  </r>
  <r>
    <x v="1489"/>
    <x v="6"/>
    <n v="17.399999999999999"/>
    <n v="34.200000000000003"/>
    <n v="5.9508000000000001"/>
    <n v="6"/>
    <s v=""/>
  </r>
  <r>
    <x v="1490"/>
    <x v="13"/>
    <n v="23"/>
    <n v="0"/>
    <n v="0"/>
    <n v="7"/>
    <n v="151.9"/>
  </r>
  <r>
    <x v="1491"/>
    <x v="17"/>
    <n v="27.6"/>
    <n v="0"/>
    <n v="0"/>
    <n v="1"/>
    <s v=""/>
  </r>
  <r>
    <x v="1492"/>
    <x v="18"/>
    <n v="11.6"/>
    <n v="0"/>
    <n v="0"/>
    <n v="2"/>
    <s v=""/>
  </r>
  <r>
    <x v="1493"/>
    <x v="16"/>
    <n v="24.2"/>
    <n v="5"/>
    <n v="1.21"/>
    <n v="3"/>
    <s v=""/>
  </r>
  <r>
    <x v="1494"/>
    <x v="2"/>
    <n v="13.2"/>
    <n v="2.2999999999999998"/>
    <n v="0.30359999999999998"/>
    <n v="4"/>
    <s v=""/>
  </r>
  <r>
    <x v="1495"/>
    <x v="3"/>
    <n v="27"/>
    <n v="0.7"/>
    <n v="0.18899999999999997"/>
    <n v="5"/>
    <s v=""/>
  </r>
  <r>
    <x v="1496"/>
    <x v="2"/>
    <n v="23.9"/>
    <n v="6.2"/>
    <n v="1.4818"/>
    <n v="6"/>
    <s v=""/>
  </r>
  <r>
    <x v="1497"/>
    <x v="15"/>
    <n v="16.8"/>
    <n v="17.600000000000001"/>
    <n v="2.9568000000000008"/>
    <n v="7"/>
    <n v="144.30000000000001"/>
  </r>
  <r>
    <x v="1498"/>
    <x v="15"/>
    <n v="28.5"/>
    <n v="15.2"/>
    <n v="4.3319999999999999"/>
    <n v="1"/>
    <s v=""/>
  </r>
  <r>
    <x v="1499"/>
    <x v="29"/>
    <n v="25.2"/>
    <n v="1.9"/>
    <n v="0.47879999999999995"/>
    <n v="2"/>
    <s v=""/>
  </r>
  <r>
    <x v="1500"/>
    <x v="6"/>
    <n v="24.9"/>
    <n v="6.8"/>
    <n v="1.6932"/>
    <n v="3"/>
    <s v=""/>
  </r>
  <r>
    <x v="1501"/>
    <x v="8"/>
    <n v="14.7"/>
    <n v="5.7"/>
    <n v="0.83789999999999987"/>
    <n v="4"/>
    <s v=""/>
  </r>
  <r>
    <x v="1502"/>
    <x v="6"/>
    <n v="12.2"/>
    <n v="14.1"/>
    <n v="1.7201999999999997"/>
    <n v="5"/>
    <s v=""/>
  </r>
  <r>
    <x v="1503"/>
    <x v="5"/>
    <n v="24.2"/>
    <n v="8"/>
    <n v="1.9359999999999999"/>
    <n v="6"/>
    <s v=""/>
  </r>
  <r>
    <x v="1504"/>
    <x v="18"/>
    <n v="28.7"/>
    <n v="0"/>
    <n v="0"/>
    <n v="7"/>
    <n v="158.39999999999998"/>
  </r>
  <r>
    <x v="1505"/>
    <x v="6"/>
    <n v="28.5"/>
    <n v="0"/>
    <n v="0"/>
    <n v="1"/>
    <s v=""/>
  </r>
  <r>
    <x v="1506"/>
    <x v="3"/>
    <n v="29.3"/>
    <n v="23.3"/>
    <n v="6.8269000000000002"/>
    <n v="2"/>
    <s v=""/>
  </r>
  <r>
    <x v="1507"/>
    <x v="6"/>
    <n v="13.3"/>
    <n v="4.9000000000000004"/>
    <n v="0.65170000000000006"/>
    <n v="3"/>
    <s v=""/>
  </r>
  <r>
    <x v="1508"/>
    <x v="6"/>
    <n v="22.6"/>
    <n v="0.7"/>
    <n v="0.15820000000000001"/>
    <n v="4"/>
    <s v=""/>
  </r>
  <r>
    <x v="1509"/>
    <x v="16"/>
    <n v="19.3"/>
    <n v="3"/>
    <n v="0.57900000000000007"/>
    <n v="5"/>
    <s v=""/>
  </r>
  <r>
    <x v="1510"/>
    <x v="4"/>
    <n v="17.899999999999999"/>
    <n v="5.0999999999999996"/>
    <n v="0.91289999999999993"/>
    <n v="6"/>
    <s v=""/>
  </r>
  <r>
    <x v="1511"/>
    <x v="16"/>
    <n v="16.7"/>
    <n v="0.3"/>
    <n v="5.0099999999999999E-2"/>
    <n v="7"/>
    <n v="147.59999999999997"/>
  </r>
  <r>
    <x v="1512"/>
    <x v="16"/>
    <n v="22"/>
    <n v="0"/>
    <n v="0"/>
    <n v="1"/>
    <s v=""/>
  </r>
  <r>
    <x v="1513"/>
    <x v="5"/>
    <n v="21.2"/>
    <n v="5.9"/>
    <n v="1.2507999999999999"/>
    <n v="2"/>
    <s v=""/>
  </r>
  <r>
    <x v="1514"/>
    <x v="7"/>
    <n v="20.6"/>
    <n v="4.5999999999999996"/>
    <n v="0.9476"/>
    <n v="3"/>
    <s v=""/>
  </r>
  <r>
    <x v="1515"/>
    <x v="15"/>
    <n v="29.4"/>
    <n v="9.1999999999999993"/>
    <n v="2.7047999999999996"/>
    <n v="4"/>
    <s v=""/>
  </r>
  <r>
    <x v="1516"/>
    <x v="3"/>
    <n v="21.3"/>
    <n v="0"/>
    <n v="0"/>
    <n v="5"/>
    <s v=""/>
  </r>
  <r>
    <x v="1517"/>
    <x v="5"/>
    <n v="20.100000000000001"/>
    <n v="2.2000000000000002"/>
    <n v="0.44220000000000004"/>
    <n v="6"/>
    <s v=""/>
  </r>
  <r>
    <x v="1518"/>
    <x v="6"/>
    <n v="12.7"/>
    <n v="5.6"/>
    <n v="0.71119999999999994"/>
    <n v="7"/>
    <n v="147.29999999999998"/>
  </r>
  <r>
    <x v="1519"/>
    <x v="7"/>
    <n v="28.9"/>
    <n v="0"/>
    <n v="0"/>
    <n v="1"/>
    <s v=""/>
  </r>
  <r>
    <x v="1520"/>
    <x v="15"/>
    <n v="24.4"/>
    <n v="28.7"/>
    <n v="7.0027999999999997"/>
    <n v="2"/>
    <s v=""/>
  </r>
  <r>
    <x v="1521"/>
    <x v="6"/>
    <n v="10.8"/>
    <n v="0"/>
    <n v="0"/>
    <n v="3"/>
    <s v=""/>
  </r>
  <r>
    <x v="1522"/>
    <x v="6"/>
    <n v="18.399999999999999"/>
    <n v="0"/>
    <n v="0"/>
    <n v="4"/>
    <s v=""/>
  </r>
  <r>
    <x v="1523"/>
    <x v="15"/>
    <n v="23.3"/>
    <n v="10.7"/>
    <n v="2.4931000000000001"/>
    <n v="5"/>
    <s v=""/>
  </r>
  <r>
    <x v="1524"/>
    <x v="11"/>
    <n v="27.9"/>
    <n v="14.8"/>
    <n v="4.1292"/>
    <n v="6"/>
    <s v=""/>
  </r>
  <r>
    <x v="1525"/>
    <x v="8"/>
    <n v="24.7"/>
    <n v="9"/>
    <n v="2.2229999999999999"/>
    <n v="7"/>
    <n v="158.39999999999998"/>
  </r>
  <r>
    <x v="1526"/>
    <x v="15"/>
    <n v="14.3"/>
    <n v="22"/>
    <n v="3.1460000000000004"/>
    <n v="1"/>
    <s v=""/>
  </r>
  <r>
    <x v="1527"/>
    <x v="29"/>
    <n v="26.2"/>
    <n v="2"/>
    <n v="0.52400000000000002"/>
    <n v="2"/>
    <s v=""/>
  </r>
  <r>
    <x v="1528"/>
    <x v="12"/>
    <n v="21.5"/>
    <n v="0.4"/>
    <n v="8.5999999999999993E-2"/>
    <n v="3"/>
    <s v=""/>
  </r>
  <r>
    <x v="1529"/>
    <x v="6"/>
    <n v="12.8"/>
    <n v="0"/>
    <n v="0"/>
    <n v="4"/>
    <s v=""/>
  </r>
  <r>
    <x v="1530"/>
    <x v="5"/>
    <n v="24.6"/>
    <n v="3"/>
    <n v="0.7380000000000001"/>
    <n v="5"/>
    <s v=""/>
  </r>
  <r>
    <x v="1531"/>
    <x v="23"/>
    <n v="22.6"/>
    <n v="1.6"/>
    <n v="0.36160000000000003"/>
    <n v="6"/>
    <s v=""/>
  </r>
  <r>
    <x v="1532"/>
    <x v="9"/>
    <n v="27.3"/>
    <n v="9.3000000000000007"/>
    <n v="2.5388999999999999"/>
    <n v="7"/>
    <n v="149.30000000000001"/>
  </r>
  <r>
    <x v="1533"/>
    <x v="15"/>
    <n v="10.8"/>
    <n v="22.2"/>
    <n v="2.3976000000000002"/>
    <n v="1"/>
    <s v=""/>
  </r>
  <r>
    <x v="1534"/>
    <x v="13"/>
    <n v="12"/>
    <n v="5.3"/>
    <n v="0.6359999999999999"/>
    <n v="2"/>
    <s v=""/>
  </r>
  <r>
    <x v="1535"/>
    <x v="3"/>
    <n v="28.1"/>
    <n v="0"/>
    <n v="0"/>
    <n v="3"/>
    <s v=""/>
  </r>
  <r>
    <x v="1536"/>
    <x v="7"/>
    <n v="16.100000000000001"/>
    <n v="9"/>
    <n v="1.4490000000000001"/>
    <n v="4"/>
    <s v=""/>
  </r>
  <r>
    <x v="1537"/>
    <x v="14"/>
    <n v="29"/>
    <n v="1.6"/>
    <n v="0.46400000000000008"/>
    <n v="5"/>
    <s v=""/>
  </r>
  <r>
    <x v="1538"/>
    <x v="7"/>
    <n v="23.6"/>
    <n v="16"/>
    <n v="3.7760000000000002"/>
    <n v="6"/>
    <s v=""/>
  </r>
  <r>
    <x v="1539"/>
    <x v="15"/>
    <n v="11.6"/>
    <n v="32"/>
    <n v="3.7119999999999997"/>
    <n v="7"/>
    <n v="131.19999999999999"/>
  </r>
  <r>
    <x v="1540"/>
    <x v="11"/>
    <n v="15.9"/>
    <n v="5.5"/>
    <n v="0.87450000000000006"/>
    <n v="1"/>
    <s v=""/>
  </r>
  <r>
    <x v="1541"/>
    <x v="22"/>
    <n v="28.3"/>
    <n v="6"/>
    <n v="1.6980000000000002"/>
    <n v="2"/>
    <s v=""/>
  </r>
  <r>
    <x v="1542"/>
    <x v="8"/>
    <n v="16.600000000000001"/>
    <n v="11.3"/>
    <n v="1.8758000000000004"/>
    <n v="3"/>
    <s v=""/>
  </r>
  <r>
    <x v="1543"/>
    <x v="18"/>
    <n v="25.2"/>
    <n v="6.4"/>
    <n v="1.6128"/>
    <n v="4"/>
    <s v=""/>
  </r>
  <r>
    <x v="1544"/>
    <x v="6"/>
    <n v="29.5"/>
    <n v="26.1"/>
    <n v="7.6995000000000005"/>
    <n v="5"/>
    <s v=""/>
  </r>
  <r>
    <x v="1545"/>
    <x v="14"/>
    <n v="13.3"/>
    <n v="7.3"/>
    <n v="0.97089999999999999"/>
    <n v="6"/>
    <s v=""/>
  </r>
  <r>
    <x v="1546"/>
    <x v="13"/>
    <n v="19.5"/>
    <n v="3.4"/>
    <n v="0.66299999999999992"/>
    <n v="7"/>
    <n v="148.30000000000001"/>
  </r>
  <r>
    <x v="1547"/>
    <x v="21"/>
    <n v="11.9"/>
    <n v="1.7"/>
    <n v="0.20230000000000001"/>
    <n v="1"/>
    <s v=""/>
  </r>
  <r>
    <x v="1548"/>
    <x v="10"/>
    <n v="29.5"/>
    <n v="5.0999999999999996"/>
    <n v="1.5044999999999999"/>
    <n v="2"/>
    <s v=""/>
  </r>
  <r>
    <x v="1549"/>
    <x v="15"/>
    <n v="25.1"/>
    <n v="0"/>
    <n v="0"/>
    <n v="3"/>
    <s v=""/>
  </r>
  <r>
    <x v="1550"/>
    <x v="18"/>
    <n v="15.1"/>
    <n v="0"/>
    <n v="0"/>
    <n v="4"/>
    <s v=""/>
  </r>
  <r>
    <x v="1551"/>
    <x v="29"/>
    <n v="19.7"/>
    <n v="1.7"/>
    <n v="0.33489999999999998"/>
    <n v="5"/>
    <s v=""/>
  </r>
  <r>
    <x v="1552"/>
    <x v="15"/>
    <n v="25.6"/>
    <n v="0"/>
    <n v="0"/>
    <n v="6"/>
    <s v=""/>
  </r>
  <r>
    <x v="1553"/>
    <x v="7"/>
    <n v="25"/>
    <n v="18.8"/>
    <n v="4.7"/>
    <n v="7"/>
    <n v="151.9"/>
  </r>
  <r>
    <x v="1554"/>
    <x v="19"/>
    <n v="11.5"/>
    <n v="0"/>
    <n v="0"/>
    <n v="1"/>
    <s v=""/>
  </r>
  <r>
    <x v="1555"/>
    <x v="6"/>
    <n v="23.8"/>
    <n v="7.3"/>
    <n v="1.7374000000000001"/>
    <n v="2"/>
    <s v=""/>
  </r>
  <r>
    <x v="1556"/>
    <x v="15"/>
    <n v="25.3"/>
    <n v="14.7"/>
    <n v="3.7190999999999996"/>
    <n v="3"/>
    <s v=""/>
  </r>
  <r>
    <x v="1557"/>
    <x v="6"/>
    <n v="22.6"/>
    <n v="42.2"/>
    <n v="9.5372000000000021"/>
    <n v="4"/>
    <s v=""/>
  </r>
  <r>
    <x v="1558"/>
    <x v="10"/>
    <n v="18.100000000000001"/>
    <n v="3.3"/>
    <n v="0.59730000000000005"/>
    <n v="5"/>
    <s v=""/>
  </r>
  <r>
    <x v="1559"/>
    <x v="15"/>
    <n v="17.8"/>
    <n v="0"/>
    <n v="0"/>
    <n v="6"/>
    <s v=""/>
  </r>
  <r>
    <x v="1560"/>
    <x v="6"/>
    <n v="25.1"/>
    <n v="25.5"/>
    <n v="6.400500000000001"/>
    <n v="7"/>
    <n v="144.19999999999999"/>
  </r>
  <r>
    <x v="1561"/>
    <x v="14"/>
    <n v="12"/>
    <n v="0"/>
    <n v="0"/>
    <n v="1"/>
    <s v=""/>
  </r>
  <r>
    <x v="1562"/>
    <x v="6"/>
    <n v="23.2"/>
    <n v="0"/>
    <n v="0"/>
    <n v="2"/>
    <s v=""/>
  </r>
  <r>
    <x v="1563"/>
    <x v="2"/>
    <n v="16"/>
    <n v="7.9"/>
    <n v="1.264"/>
    <n v="3"/>
    <s v=""/>
  </r>
  <r>
    <x v="1564"/>
    <x v="11"/>
    <n v="26.5"/>
    <n v="20.2"/>
    <n v="5.3529999999999998"/>
    <n v="4"/>
    <s v=""/>
  </r>
  <r>
    <x v="1565"/>
    <x v="25"/>
    <n v="28.9"/>
    <n v="0.3"/>
    <n v="8.6699999999999999E-2"/>
    <n v="5"/>
    <s v=""/>
  </r>
  <r>
    <x v="1566"/>
    <x v="6"/>
    <n v="26.6"/>
    <n v="0"/>
    <n v="0"/>
    <n v="6"/>
    <s v=""/>
  </r>
  <r>
    <x v="1567"/>
    <x v="3"/>
    <n v="13.1"/>
    <n v="19.899999999999999"/>
    <n v="2.6069"/>
    <n v="7"/>
    <n v="146.29999999999998"/>
  </r>
  <r>
    <x v="1568"/>
    <x v="6"/>
    <n v="21.5"/>
    <n v="33.4"/>
    <n v="7.181"/>
    <n v="1"/>
    <s v=""/>
  </r>
  <r>
    <x v="1569"/>
    <x v="27"/>
    <n v="25.7"/>
    <n v="0"/>
    <n v="0"/>
    <n v="2"/>
    <s v=""/>
  </r>
  <r>
    <x v="1570"/>
    <x v="15"/>
    <n v="11.8"/>
    <n v="23"/>
    <n v="2.7140000000000004"/>
    <n v="3"/>
    <s v=""/>
  </r>
  <r>
    <x v="1571"/>
    <x v="21"/>
    <n v="12.6"/>
    <n v="0.7"/>
    <n v="8.8199999999999987E-2"/>
    <n v="4"/>
    <s v=""/>
  </r>
  <r>
    <x v="1572"/>
    <x v="23"/>
    <n v="26.2"/>
    <n v="0.3"/>
    <n v="7.8599999999999989E-2"/>
    <n v="5"/>
    <s v=""/>
  </r>
  <r>
    <x v="1573"/>
    <x v="4"/>
    <n v="29.1"/>
    <n v="5"/>
    <n v="1.4550000000000001"/>
    <n v="6"/>
    <s v=""/>
  </r>
  <r>
    <x v="1574"/>
    <x v="18"/>
    <n v="18.899999999999999"/>
    <n v="7.5"/>
    <n v="1.4175"/>
    <n v="7"/>
    <n v="145.80000000000001"/>
  </r>
  <r>
    <x v="1575"/>
    <x v="7"/>
    <n v="10.5"/>
    <n v="7.3"/>
    <n v="0.76649999999999996"/>
    <n v="1"/>
    <s v=""/>
  </r>
  <r>
    <x v="1576"/>
    <x v="19"/>
    <n v="15.1"/>
    <n v="6"/>
    <n v="0.90599999999999992"/>
    <n v="2"/>
    <s v=""/>
  </r>
  <r>
    <x v="1577"/>
    <x v="3"/>
    <n v="27.8"/>
    <n v="8.3000000000000007"/>
    <n v="2.3074000000000003"/>
    <n v="3"/>
    <s v=""/>
  </r>
  <r>
    <x v="1578"/>
    <x v="12"/>
    <n v="11.7"/>
    <n v="0.4"/>
    <n v="4.6799999999999994E-2"/>
    <n v="4"/>
    <s v=""/>
  </r>
  <r>
    <x v="1579"/>
    <x v="6"/>
    <n v="10.5"/>
    <n v="36.9"/>
    <n v="3.8744999999999998"/>
    <n v="5"/>
    <s v=""/>
  </r>
  <r>
    <x v="1580"/>
    <x v="1"/>
    <n v="21"/>
    <n v="7.1"/>
    <n v="1.4909999999999999"/>
    <n v="6"/>
    <s v=""/>
  </r>
  <r>
    <x v="1581"/>
    <x v="20"/>
    <n v="17.399999999999999"/>
    <n v="3.7"/>
    <n v="0.64379999999999993"/>
    <n v="7"/>
    <n v="114"/>
  </r>
  <r>
    <x v="1582"/>
    <x v="14"/>
    <n v="21.9"/>
    <n v="7.6"/>
    <n v="1.6643999999999997"/>
    <n v="1"/>
    <s v=""/>
  </r>
  <r>
    <x v="1583"/>
    <x v="14"/>
    <n v="26"/>
    <n v="4.5999999999999996"/>
    <n v="1.196"/>
    <n v="2"/>
    <s v=""/>
  </r>
  <r>
    <x v="1584"/>
    <x v="15"/>
    <n v="12.2"/>
    <n v="19.3"/>
    <n v="2.3546"/>
    <n v="3"/>
    <s v=""/>
  </r>
  <r>
    <x v="1585"/>
    <x v="4"/>
    <n v="22.4"/>
    <n v="0.3"/>
    <n v="6.7199999999999996E-2"/>
    <n v="4"/>
    <s v=""/>
  </r>
  <r>
    <x v="1586"/>
    <x v="18"/>
    <n v="18.600000000000001"/>
    <n v="7.2"/>
    <n v="1.3392000000000002"/>
    <n v="5"/>
    <s v=""/>
  </r>
  <r>
    <x v="1587"/>
    <x v="6"/>
    <n v="17.100000000000001"/>
    <n v="0"/>
    <n v="0"/>
    <n v="6"/>
    <s v=""/>
  </r>
  <r>
    <x v="1588"/>
    <x v="15"/>
    <n v="25.1"/>
    <n v="24.3"/>
    <n v="6.0993000000000004"/>
    <n v="7"/>
    <n v="143.29999999999998"/>
  </r>
  <r>
    <x v="1589"/>
    <x v="7"/>
    <n v="10.4"/>
    <n v="22.2"/>
    <n v="2.3087999999999997"/>
    <n v="1"/>
    <s v=""/>
  </r>
  <r>
    <x v="1590"/>
    <x v="14"/>
    <n v="28.9"/>
    <n v="0"/>
    <n v="0"/>
    <n v="2"/>
    <s v=""/>
  </r>
  <r>
    <x v="1591"/>
    <x v="27"/>
    <n v="24.1"/>
    <n v="0"/>
    <n v="0"/>
    <n v="3"/>
    <s v=""/>
  </r>
  <r>
    <x v="1592"/>
    <x v="15"/>
    <n v="23.2"/>
    <n v="22.1"/>
    <n v="5.1272000000000002"/>
    <n v="4"/>
    <s v=""/>
  </r>
  <r>
    <x v="1593"/>
    <x v="9"/>
    <n v="24.1"/>
    <n v="9.3000000000000007"/>
    <n v="2.2413000000000003"/>
    <n v="5"/>
    <s v=""/>
  </r>
  <r>
    <x v="1594"/>
    <x v="6"/>
    <n v="14.6"/>
    <n v="0"/>
    <n v="0"/>
    <n v="6"/>
    <s v=""/>
  </r>
  <r>
    <x v="1595"/>
    <x v="16"/>
    <n v="17.7"/>
    <n v="0"/>
    <n v="0"/>
    <n v="7"/>
    <n v="142.99999999999997"/>
  </r>
  <r>
    <x v="1596"/>
    <x v="2"/>
    <n v="20.100000000000001"/>
    <n v="11.5"/>
    <n v="2.3115000000000001"/>
    <n v="1"/>
    <s v=""/>
  </r>
  <r>
    <x v="1597"/>
    <x v="4"/>
    <n v="27.5"/>
    <n v="0"/>
    <n v="0"/>
    <n v="2"/>
    <s v=""/>
  </r>
  <r>
    <x v="1598"/>
    <x v="3"/>
    <n v="10.9"/>
    <n v="9"/>
    <n v="0.98100000000000009"/>
    <n v="3"/>
    <s v=""/>
  </r>
  <r>
    <x v="1599"/>
    <x v="20"/>
    <n v="27.6"/>
    <n v="3.2"/>
    <n v="0.8832000000000001"/>
    <n v="4"/>
    <s v=""/>
  </r>
  <r>
    <x v="1600"/>
    <x v="15"/>
    <n v="24.5"/>
    <n v="15.3"/>
    <n v="3.7485000000000004"/>
    <n v="5"/>
    <s v=""/>
  </r>
  <r>
    <x v="1601"/>
    <x v="13"/>
    <n v="10.8"/>
    <n v="0"/>
    <n v="0"/>
    <n v="6"/>
    <s v=""/>
  </r>
  <r>
    <x v="1602"/>
    <x v="15"/>
    <n v="28.7"/>
    <n v="27.2"/>
    <n v="7.8064"/>
    <n v="7"/>
    <n v="150.1"/>
  </r>
  <r>
    <x v="1603"/>
    <x v="5"/>
    <n v="21.5"/>
    <n v="0.6"/>
    <n v="0.129"/>
    <n v="1"/>
    <s v=""/>
  </r>
  <r>
    <x v="1604"/>
    <x v="20"/>
    <n v="20.100000000000001"/>
    <n v="0.8"/>
    <n v="0.16080000000000003"/>
    <n v="2"/>
    <s v=""/>
  </r>
  <r>
    <x v="1605"/>
    <x v="15"/>
    <n v="21.3"/>
    <n v="14.6"/>
    <n v="3.1098000000000003"/>
    <n v="3"/>
    <s v=""/>
  </r>
  <r>
    <x v="1606"/>
    <x v="23"/>
    <n v="20.2"/>
    <n v="6.9"/>
    <n v="1.3937999999999999"/>
    <n v="4"/>
    <s v=""/>
  </r>
  <r>
    <x v="1607"/>
    <x v="9"/>
    <n v="16.8"/>
    <n v="7.6"/>
    <n v="1.2767999999999999"/>
    <n v="5"/>
    <s v=""/>
  </r>
  <r>
    <x v="1608"/>
    <x v="2"/>
    <n v="26.5"/>
    <n v="2.5"/>
    <n v="0.66249999999999998"/>
    <n v="6"/>
    <s v=""/>
  </r>
  <r>
    <x v="1609"/>
    <x v="3"/>
    <n v="18.899999999999999"/>
    <n v="0"/>
    <n v="0"/>
    <n v="7"/>
    <n v="145.30000000000001"/>
  </r>
  <r>
    <x v="1610"/>
    <x v="16"/>
    <n v="22.9"/>
    <n v="1.2"/>
    <n v="0.27479999999999999"/>
    <n v="1"/>
    <s v=""/>
  </r>
  <r>
    <x v="1611"/>
    <x v="15"/>
    <n v="11.3"/>
    <n v="32.700000000000003"/>
    <n v="3.6951000000000005"/>
    <n v="2"/>
    <s v=""/>
  </r>
  <r>
    <x v="1612"/>
    <x v="9"/>
    <n v="13"/>
    <n v="1.7"/>
    <n v="0.22099999999999997"/>
    <n v="3"/>
    <s v=""/>
  </r>
  <r>
    <x v="1613"/>
    <x v="4"/>
    <n v="18.3"/>
    <n v="2.5"/>
    <n v="0.45750000000000002"/>
    <n v="4"/>
    <s v=""/>
  </r>
  <r>
    <x v="1614"/>
    <x v="3"/>
    <n v="10.199999999999999"/>
    <n v="14.3"/>
    <n v="1.4585999999999999"/>
    <n v="5"/>
    <s v=""/>
  </r>
  <r>
    <x v="1615"/>
    <x v="7"/>
    <n v="14.5"/>
    <n v="10.5"/>
    <n v="1.5225"/>
    <n v="6"/>
    <s v=""/>
  </r>
  <r>
    <x v="1616"/>
    <x v="10"/>
    <n v="12.3"/>
    <n v="7.4"/>
    <n v="0.91020000000000012"/>
    <n v="7"/>
    <n v="102.5"/>
  </r>
  <r>
    <x v="1617"/>
    <x v="9"/>
    <n v="17"/>
    <n v="16.899999999999999"/>
    <n v="2.8729999999999993"/>
    <n v="1"/>
    <s v=""/>
  </r>
  <r>
    <x v="1618"/>
    <x v="1"/>
    <n v="17.5"/>
    <n v="0"/>
    <n v="0"/>
    <n v="2"/>
    <s v=""/>
  </r>
  <r>
    <x v="1619"/>
    <x v="0"/>
    <n v="28.4"/>
    <n v="0"/>
    <n v="0"/>
    <n v="3"/>
    <s v=""/>
  </r>
  <r>
    <x v="1620"/>
    <x v="15"/>
    <n v="13.1"/>
    <n v="36.6"/>
    <n v="4.7946"/>
    <n v="4"/>
    <s v=""/>
  </r>
  <r>
    <x v="1621"/>
    <x v="3"/>
    <n v="16.600000000000001"/>
    <n v="6.6"/>
    <n v="1.0956000000000001"/>
    <n v="5"/>
    <s v=""/>
  </r>
  <r>
    <x v="1622"/>
    <x v="15"/>
    <n v="20.2"/>
    <n v="0"/>
    <n v="0"/>
    <n v="6"/>
    <s v=""/>
  </r>
  <r>
    <x v="1623"/>
    <x v="3"/>
    <n v="26.4"/>
    <n v="11.9"/>
    <n v="3.1415999999999995"/>
    <n v="7"/>
    <n v="139.19999999999999"/>
  </r>
  <r>
    <x v="1624"/>
    <x v="6"/>
    <n v="11.8"/>
    <n v="0"/>
    <n v="0"/>
    <n v="1"/>
    <s v=""/>
  </r>
  <r>
    <x v="1625"/>
    <x v="13"/>
    <n v="19.5"/>
    <n v="6.4"/>
    <n v="1.2480000000000002"/>
    <n v="2"/>
    <s v=""/>
  </r>
  <r>
    <x v="1626"/>
    <x v="15"/>
    <n v="12"/>
    <n v="13.3"/>
    <n v="1.5960000000000003"/>
    <n v="3"/>
    <s v=""/>
  </r>
  <r>
    <x v="1627"/>
    <x v="18"/>
    <n v="16.3"/>
    <n v="7.5"/>
    <n v="1.2224999999999999"/>
    <n v="4"/>
    <s v=""/>
  </r>
  <r>
    <x v="1628"/>
    <x v="13"/>
    <n v="22.8"/>
    <n v="2.7"/>
    <n v="0.61560000000000015"/>
    <n v="5"/>
    <s v=""/>
  </r>
  <r>
    <x v="1629"/>
    <x v="6"/>
    <n v="16.2"/>
    <n v="43.3"/>
    <n v="7.0145999999999988"/>
    <n v="6"/>
    <s v=""/>
  </r>
  <r>
    <x v="1630"/>
    <x v="20"/>
    <n v="11.5"/>
    <n v="3.1"/>
    <n v="0.35649999999999998"/>
    <n v="7"/>
    <n v="110.1"/>
  </r>
  <r>
    <x v="1631"/>
    <x v="9"/>
    <n v="13.5"/>
    <n v="0"/>
    <n v="0"/>
    <n v="1"/>
    <s v=""/>
  </r>
  <r>
    <x v="1632"/>
    <x v="13"/>
    <n v="16.2"/>
    <n v="6.4"/>
    <n v="1.0368000000000002"/>
    <n v="2"/>
    <s v=""/>
  </r>
  <r>
    <x v="1633"/>
    <x v="6"/>
    <n v="18.5"/>
    <n v="24.9"/>
    <n v="4.6064999999999996"/>
    <n v="3"/>
    <s v=""/>
  </r>
  <r>
    <x v="1634"/>
    <x v="15"/>
    <n v="10.9"/>
    <n v="0"/>
    <n v="0"/>
    <n v="4"/>
    <s v=""/>
  </r>
  <r>
    <x v="1635"/>
    <x v="13"/>
    <n v="23.9"/>
    <n v="4.5"/>
    <n v="1.0754999999999999"/>
    <n v="5"/>
    <s v=""/>
  </r>
  <r>
    <x v="1636"/>
    <x v="7"/>
    <n v="20.2"/>
    <n v="0"/>
    <n v="0"/>
    <n v="6"/>
    <s v=""/>
  </r>
  <r>
    <x v="1637"/>
    <x v="3"/>
    <n v="23.3"/>
    <n v="0"/>
    <n v="0"/>
    <n v="7"/>
    <n v="126.5"/>
  </r>
  <r>
    <x v="1638"/>
    <x v="9"/>
    <n v="26.3"/>
    <n v="2.2000000000000002"/>
    <n v="0.57860000000000011"/>
    <n v="1"/>
    <s v=""/>
  </r>
  <r>
    <x v="1639"/>
    <x v="9"/>
    <n v="20.3"/>
    <n v="16.600000000000001"/>
    <n v="3.3698000000000001"/>
    <n v="2"/>
    <s v=""/>
  </r>
  <r>
    <x v="1640"/>
    <x v="6"/>
    <n v="11.1"/>
    <n v="38"/>
    <n v="4.218"/>
    <n v="3"/>
    <s v=""/>
  </r>
  <r>
    <x v="1641"/>
    <x v="1"/>
    <n v="10.7"/>
    <n v="1.2"/>
    <n v="0.12839999999999999"/>
    <n v="4"/>
    <s v=""/>
  </r>
  <r>
    <x v="1642"/>
    <x v="17"/>
    <n v="21.8"/>
    <n v="0"/>
    <n v="0"/>
    <n v="5"/>
    <s v=""/>
  </r>
  <r>
    <x v="1643"/>
    <x v="3"/>
    <n v="29.7"/>
    <n v="2.5"/>
    <n v="0.74250000000000005"/>
    <n v="6"/>
    <s v=""/>
  </r>
  <r>
    <x v="1644"/>
    <x v="6"/>
    <n v="21.7"/>
    <n v="16.100000000000001"/>
    <n v="3.4937"/>
    <n v="7"/>
    <n v="141.6"/>
  </r>
  <r>
    <x v="1645"/>
    <x v="6"/>
    <n v="26"/>
    <n v="47.6"/>
    <n v="12.376000000000001"/>
    <n v="1"/>
    <s v=""/>
  </r>
  <r>
    <x v="1646"/>
    <x v="3"/>
    <n v="18"/>
    <n v="5.3"/>
    <n v="0.95399999999999996"/>
    <n v="2"/>
    <s v=""/>
  </r>
  <r>
    <x v="1647"/>
    <x v="20"/>
    <n v="15.8"/>
    <n v="3.6"/>
    <n v="0.56879999999999997"/>
    <n v="3"/>
    <s v=""/>
  </r>
  <r>
    <x v="1648"/>
    <x v="22"/>
    <n v="14.1"/>
    <n v="6.8"/>
    <n v="0.95879999999999999"/>
    <n v="4"/>
    <s v=""/>
  </r>
  <r>
    <x v="1649"/>
    <x v="20"/>
    <n v="22.3"/>
    <n v="1.8"/>
    <n v="0.40139999999999998"/>
    <n v="5"/>
    <s v=""/>
  </r>
  <r>
    <x v="1650"/>
    <x v="15"/>
    <n v="22.2"/>
    <n v="0"/>
    <n v="0"/>
    <n v="6"/>
    <s v=""/>
  </r>
  <r>
    <x v="1651"/>
    <x v="2"/>
    <n v="23.8"/>
    <n v="0"/>
    <n v="0"/>
    <n v="7"/>
    <n v="142.19999999999999"/>
  </r>
  <r>
    <x v="1652"/>
    <x v="10"/>
    <n v="10"/>
    <n v="8.1"/>
    <n v="0.81"/>
    <n v="1"/>
    <s v=""/>
  </r>
  <r>
    <x v="1653"/>
    <x v="20"/>
    <n v="23.8"/>
    <n v="0"/>
    <n v="0"/>
    <n v="2"/>
    <s v=""/>
  </r>
  <r>
    <x v="1654"/>
    <x v="19"/>
    <n v="13.4"/>
    <n v="2.6"/>
    <n v="0.34840000000000004"/>
    <n v="3"/>
    <s v=""/>
  </r>
  <r>
    <x v="1655"/>
    <x v="20"/>
    <n v="17"/>
    <n v="1.5"/>
    <n v="0.255"/>
    <n v="4"/>
    <s v=""/>
  </r>
  <r>
    <x v="1656"/>
    <x v="2"/>
    <n v="25.5"/>
    <n v="0"/>
    <n v="0"/>
    <n v="5"/>
    <s v=""/>
  </r>
  <r>
    <x v="1657"/>
    <x v="10"/>
    <n v="19.7"/>
    <n v="0"/>
    <n v="0"/>
    <n v="6"/>
    <s v=""/>
  </r>
  <r>
    <x v="1658"/>
    <x v="6"/>
    <n v="22.8"/>
    <n v="10.7"/>
    <n v="2.4396"/>
    <n v="7"/>
    <n v="132.19999999999999"/>
  </r>
  <r>
    <x v="1659"/>
    <x v="12"/>
    <n v="25.5"/>
    <n v="0"/>
    <n v="0"/>
    <n v="1"/>
    <s v=""/>
  </r>
  <r>
    <x v="1660"/>
    <x v="6"/>
    <n v="16.8"/>
    <n v="2.2000000000000002"/>
    <n v="0.3696000000000001"/>
    <n v="2"/>
    <s v=""/>
  </r>
  <r>
    <x v="1661"/>
    <x v="19"/>
    <n v="25.3"/>
    <n v="2.5"/>
    <n v="0.63249999999999995"/>
    <n v="3"/>
    <s v=""/>
  </r>
  <r>
    <x v="1662"/>
    <x v="21"/>
    <n v="26.3"/>
    <n v="0.4"/>
    <n v="0.10520000000000002"/>
    <n v="4"/>
    <s v=""/>
  </r>
  <r>
    <x v="1663"/>
    <x v="9"/>
    <n v="21.9"/>
    <n v="7"/>
    <n v="1.5329999999999999"/>
    <n v="5"/>
    <s v=""/>
  </r>
  <r>
    <x v="1664"/>
    <x v="9"/>
    <n v="11.2"/>
    <n v="0"/>
    <n v="0"/>
    <n v="6"/>
    <s v=""/>
  </r>
  <r>
    <x v="1665"/>
    <x v="11"/>
    <n v="10.6"/>
    <n v="5.2"/>
    <n v="0.55120000000000002"/>
    <n v="7"/>
    <n v="137.6"/>
  </r>
  <r>
    <x v="1666"/>
    <x v="8"/>
    <n v="17.7"/>
    <n v="1"/>
    <n v="0.17699999999999999"/>
    <n v="1"/>
    <s v=""/>
  </r>
  <r>
    <x v="1667"/>
    <x v="3"/>
    <n v="19.899999999999999"/>
    <n v="0"/>
    <n v="0"/>
    <n v="2"/>
    <s v=""/>
  </r>
  <r>
    <x v="1668"/>
    <x v="6"/>
    <n v="25.1"/>
    <n v="42.1"/>
    <n v="10.5671"/>
    <n v="3"/>
    <s v=""/>
  </r>
  <r>
    <x v="1669"/>
    <x v="5"/>
    <n v="18.5"/>
    <n v="0.3"/>
    <n v="5.5500000000000001E-2"/>
    <n v="4"/>
    <s v=""/>
  </r>
  <r>
    <x v="1670"/>
    <x v="6"/>
    <n v="25.5"/>
    <n v="25.3"/>
    <n v="6.4514999999999993"/>
    <n v="5"/>
    <s v=""/>
  </r>
  <r>
    <x v="1671"/>
    <x v="6"/>
    <n v="12.8"/>
    <n v="0"/>
    <n v="0"/>
    <n v="6"/>
    <s v=""/>
  </r>
  <r>
    <x v="1672"/>
    <x v="15"/>
    <n v="23.6"/>
    <n v="34.299999999999997"/>
    <n v="8.0947999999999993"/>
    <n v="7"/>
    <n v="143.1"/>
  </r>
  <r>
    <x v="1673"/>
    <x v="11"/>
    <n v="13.1"/>
    <n v="2"/>
    <n v="0.26200000000000001"/>
    <n v="1"/>
    <s v=""/>
  </r>
  <r>
    <x v="1674"/>
    <x v="19"/>
    <n v="23"/>
    <n v="0"/>
    <n v="0"/>
    <n v="2"/>
    <s v=""/>
  </r>
  <r>
    <x v="1675"/>
    <x v="9"/>
    <n v="13"/>
    <n v="15.8"/>
    <n v="2.0540000000000003"/>
    <n v="3"/>
    <s v=""/>
  </r>
  <r>
    <x v="1676"/>
    <x v="5"/>
    <n v="19.5"/>
    <n v="8"/>
    <n v="1.56"/>
    <n v="4"/>
    <s v=""/>
  </r>
  <r>
    <x v="1677"/>
    <x v="3"/>
    <n v="19.2"/>
    <n v="0"/>
    <n v="0"/>
    <n v="5"/>
    <s v=""/>
  </r>
  <r>
    <x v="1678"/>
    <x v="1"/>
    <n v="28.3"/>
    <n v="1.1000000000000001"/>
    <n v="0.31130000000000002"/>
    <n v="6"/>
    <s v=""/>
  </r>
  <r>
    <x v="1679"/>
    <x v="6"/>
    <n v="18.100000000000001"/>
    <n v="0"/>
    <n v="0"/>
    <n v="7"/>
    <n v="134.19999999999999"/>
  </r>
  <r>
    <x v="1680"/>
    <x v="15"/>
    <n v="17.5"/>
    <n v="13.3"/>
    <n v="2.3275000000000001"/>
    <n v="1"/>
    <s v=""/>
  </r>
  <r>
    <x v="1681"/>
    <x v="2"/>
    <n v="26.7"/>
    <n v="12.9"/>
    <n v="3.4443000000000001"/>
    <n v="2"/>
    <s v=""/>
  </r>
  <r>
    <x v="1682"/>
    <x v="15"/>
    <n v="26.6"/>
    <n v="0"/>
    <n v="0"/>
    <n v="3"/>
    <s v=""/>
  </r>
  <r>
    <x v="1683"/>
    <x v="18"/>
    <n v="12.2"/>
    <n v="1.8"/>
    <n v="0.21960000000000002"/>
    <n v="4"/>
    <s v=""/>
  </r>
  <r>
    <x v="1684"/>
    <x v="3"/>
    <n v="27.4"/>
    <n v="4.8"/>
    <n v="1.3151999999999999"/>
    <n v="5"/>
    <s v=""/>
  </r>
  <r>
    <x v="1685"/>
    <x v="9"/>
    <n v="24.9"/>
    <n v="1.6"/>
    <n v="0.39840000000000003"/>
    <n v="6"/>
    <s v=""/>
  </r>
  <r>
    <x v="1686"/>
    <x v="23"/>
    <n v="21.4"/>
    <n v="5.5"/>
    <n v="1.1769999999999998"/>
    <n v="7"/>
    <n v="156.70000000000002"/>
  </r>
  <r>
    <x v="1687"/>
    <x v="25"/>
    <n v="14.1"/>
    <n v="0"/>
    <n v="0"/>
    <n v="1"/>
    <s v=""/>
  </r>
  <r>
    <x v="1688"/>
    <x v="21"/>
    <n v="15.4"/>
    <n v="2.1"/>
    <n v="0.32340000000000002"/>
    <n v="2"/>
    <s v=""/>
  </r>
  <r>
    <x v="1689"/>
    <x v="9"/>
    <n v="27.7"/>
    <n v="0"/>
    <n v="0"/>
    <n v="3"/>
    <s v=""/>
  </r>
  <r>
    <x v="1690"/>
    <x v="6"/>
    <n v="15.5"/>
    <n v="43.4"/>
    <n v="6.7269999999999994"/>
    <n v="4"/>
    <s v=""/>
  </r>
  <r>
    <x v="1691"/>
    <x v="3"/>
    <n v="26.8"/>
    <n v="0"/>
    <n v="0"/>
    <n v="5"/>
    <s v=""/>
  </r>
  <r>
    <x v="1692"/>
    <x v="9"/>
    <n v="23.1"/>
    <n v="9.1"/>
    <n v="2.1021000000000001"/>
    <n v="6"/>
    <s v=""/>
  </r>
  <r>
    <x v="1693"/>
    <x v="2"/>
    <n v="22.8"/>
    <n v="12.9"/>
    <n v="2.9412000000000003"/>
    <n v="7"/>
    <n v="145.4"/>
  </r>
  <r>
    <x v="1694"/>
    <x v="6"/>
    <n v="17.2"/>
    <n v="0"/>
    <n v="0"/>
    <n v="1"/>
    <s v=""/>
  </r>
  <r>
    <x v="1695"/>
    <x v="6"/>
    <n v="29.3"/>
    <n v="6.1"/>
    <n v="1.7872999999999999"/>
    <n v="2"/>
    <s v=""/>
  </r>
  <r>
    <x v="1696"/>
    <x v="9"/>
    <n v="19.5"/>
    <n v="14.2"/>
    <n v="2.7689999999999997"/>
    <n v="3"/>
    <s v=""/>
  </r>
  <r>
    <x v="1697"/>
    <x v="15"/>
    <n v="28.1"/>
    <n v="9.4"/>
    <n v="2.6414000000000004"/>
    <n v="4"/>
    <s v=""/>
  </r>
  <r>
    <x v="1698"/>
    <x v="7"/>
    <n v="21.1"/>
    <n v="12"/>
    <n v="2.532"/>
    <n v="5"/>
    <s v=""/>
  </r>
  <r>
    <x v="1699"/>
    <x v="3"/>
    <n v="23.8"/>
    <n v="13.3"/>
    <n v="3.1654"/>
    <n v="6"/>
    <s v=""/>
  </r>
  <r>
    <x v="1700"/>
    <x v="20"/>
    <n v="19.399999999999999"/>
    <n v="2.2000000000000002"/>
    <n v="0.42680000000000001"/>
    <n v="7"/>
    <n v="158.4"/>
  </r>
  <r>
    <x v="1701"/>
    <x v="3"/>
    <n v="25.8"/>
    <n v="17.100000000000001"/>
    <n v="4.4118000000000004"/>
    <n v="1"/>
    <s v=""/>
  </r>
  <r>
    <x v="1702"/>
    <x v="3"/>
    <n v="30"/>
    <n v="6.3"/>
    <n v="1.89"/>
    <n v="2"/>
    <s v=""/>
  </r>
  <r>
    <x v="1703"/>
    <x v="6"/>
    <n v="11"/>
    <n v="0"/>
    <n v="0"/>
    <n v="3"/>
    <s v=""/>
  </r>
  <r>
    <x v="1704"/>
    <x v="15"/>
    <n v="27.2"/>
    <n v="0"/>
    <n v="0"/>
    <n v="4"/>
    <s v=""/>
  </r>
  <r>
    <x v="1705"/>
    <x v="3"/>
    <n v="18.3"/>
    <n v="8.4"/>
    <n v="1.5371999999999999"/>
    <n v="5"/>
    <s v=""/>
  </r>
  <r>
    <x v="1706"/>
    <x v="21"/>
    <n v="14"/>
    <n v="2.5"/>
    <n v="0.35"/>
    <n v="6"/>
    <s v=""/>
  </r>
  <r>
    <x v="1707"/>
    <x v="3"/>
    <n v="26.2"/>
    <n v="6.9"/>
    <n v="1.8078000000000001"/>
    <n v="7"/>
    <n v="152.5"/>
  </r>
  <r>
    <x v="1708"/>
    <x v="11"/>
    <n v="25.5"/>
    <n v="8.4"/>
    <n v="2.1420000000000003"/>
    <n v="1"/>
    <s v=""/>
  </r>
  <r>
    <x v="1709"/>
    <x v="14"/>
    <n v="23.1"/>
    <n v="11.4"/>
    <n v="2.6334000000000004"/>
    <n v="2"/>
    <s v=""/>
  </r>
  <r>
    <x v="1710"/>
    <x v="8"/>
    <n v="21.3"/>
    <n v="2.8"/>
    <n v="0.59640000000000004"/>
    <n v="3"/>
    <s v=""/>
  </r>
  <r>
    <x v="1711"/>
    <x v="8"/>
    <n v="16.3"/>
    <n v="7.6"/>
    <n v="1.2387999999999999"/>
    <n v="4"/>
    <s v=""/>
  </r>
  <r>
    <x v="1712"/>
    <x v="10"/>
    <n v="23.7"/>
    <n v="7.6"/>
    <n v="1.8011999999999997"/>
    <n v="5"/>
    <s v=""/>
  </r>
  <r>
    <x v="1713"/>
    <x v="14"/>
    <n v="24.8"/>
    <n v="0"/>
    <n v="0"/>
    <n v="6"/>
    <s v=""/>
  </r>
  <r>
    <x v="1714"/>
    <x v="29"/>
    <n v="21.7"/>
    <n v="1"/>
    <n v="0.217"/>
    <n v="7"/>
    <n v="156.4"/>
  </r>
  <r>
    <x v="1715"/>
    <x v="6"/>
    <n v="16.7"/>
    <n v="21"/>
    <n v="3.5069999999999997"/>
    <n v="1"/>
    <s v=""/>
  </r>
  <r>
    <x v="1716"/>
    <x v="19"/>
    <n v="22.3"/>
    <n v="0.1"/>
    <n v="2.23E-2"/>
    <n v="2"/>
    <s v=""/>
  </r>
  <r>
    <x v="1717"/>
    <x v="22"/>
    <n v="13.6"/>
    <n v="0"/>
    <n v="0"/>
    <n v="3"/>
    <s v=""/>
  </r>
  <r>
    <x v="1718"/>
    <x v="21"/>
    <n v="11.8"/>
    <n v="2.1"/>
    <n v="0.24780000000000002"/>
    <n v="4"/>
    <s v=""/>
  </r>
  <r>
    <x v="1719"/>
    <x v="7"/>
    <n v="11.1"/>
    <n v="0"/>
    <n v="0"/>
    <n v="5"/>
    <s v=""/>
  </r>
  <r>
    <x v="1720"/>
    <x v="9"/>
    <n v="11.2"/>
    <n v="15"/>
    <n v="1.68"/>
    <n v="6"/>
    <s v=""/>
  </r>
  <r>
    <x v="1721"/>
    <x v="19"/>
    <n v="19.100000000000001"/>
    <n v="0"/>
    <n v="0"/>
    <n v="7"/>
    <n v="105.80000000000001"/>
  </r>
  <r>
    <x v="1722"/>
    <x v="6"/>
    <n v="11.1"/>
    <n v="46.3"/>
    <n v="5.1392999999999995"/>
    <n v="1"/>
    <s v=""/>
  </r>
  <r>
    <x v="1723"/>
    <x v="14"/>
    <n v="15.1"/>
    <n v="6.2"/>
    <n v="0.93620000000000003"/>
    <n v="2"/>
    <s v=""/>
  </r>
  <r>
    <x v="1724"/>
    <x v="11"/>
    <n v="21.7"/>
    <n v="0"/>
    <n v="0"/>
    <n v="3"/>
    <s v=""/>
  </r>
  <r>
    <x v="1725"/>
    <x v="19"/>
    <n v="19.7"/>
    <n v="0.2"/>
    <n v="3.9399999999999998E-2"/>
    <n v="4"/>
    <s v=""/>
  </r>
  <r>
    <x v="1726"/>
    <x v="3"/>
    <n v="17.5"/>
    <n v="2.2000000000000002"/>
    <n v="0.38500000000000001"/>
    <n v="5"/>
    <s v=""/>
  </r>
  <r>
    <x v="1727"/>
    <x v="2"/>
    <n v="18.8"/>
    <n v="11.3"/>
    <n v="2.1244000000000001"/>
    <n v="6"/>
    <s v=""/>
  </r>
  <r>
    <x v="1728"/>
    <x v="26"/>
    <n v="19.600000000000001"/>
    <n v="0.3"/>
    <n v="5.8799999999999998E-2"/>
    <n v="7"/>
    <n v="123.5"/>
  </r>
  <r>
    <x v="1729"/>
    <x v="7"/>
    <n v="24.4"/>
    <n v="22"/>
    <n v="5.3679999999999994"/>
    <n v="1"/>
    <s v=""/>
  </r>
  <r>
    <x v="1730"/>
    <x v="19"/>
    <n v="10.5"/>
    <n v="0.1"/>
    <n v="1.0500000000000001E-2"/>
    <n v="2"/>
    <s v=""/>
  </r>
  <r>
    <x v="1731"/>
    <x v="5"/>
    <n v="23.5"/>
    <n v="0"/>
    <n v="0"/>
    <n v="3"/>
    <s v=""/>
  </r>
  <r>
    <x v="1732"/>
    <x v="23"/>
    <n v="19.2"/>
    <n v="0"/>
    <n v="0"/>
    <n v="4"/>
    <s v=""/>
  </r>
  <r>
    <x v="1733"/>
    <x v="2"/>
    <n v="11"/>
    <n v="0"/>
    <n v="0"/>
    <n v="5"/>
    <s v=""/>
  </r>
  <r>
    <x v="1734"/>
    <x v="7"/>
    <n v="10.4"/>
    <n v="0"/>
    <n v="0"/>
    <n v="6"/>
    <s v=""/>
  </r>
  <r>
    <x v="1735"/>
    <x v="3"/>
    <n v="11.9"/>
    <n v="9"/>
    <n v="1.0710000000000002"/>
    <n v="7"/>
    <n v="110.9"/>
  </r>
  <r>
    <x v="1736"/>
    <x v="10"/>
    <n v="23.1"/>
    <n v="2"/>
    <n v="0.46200000000000002"/>
    <n v="1"/>
    <s v=""/>
  </r>
  <r>
    <x v="1737"/>
    <x v="15"/>
    <n v="18.600000000000001"/>
    <n v="17.2"/>
    <n v="3.1992000000000003"/>
    <n v="2"/>
    <s v=""/>
  </r>
  <r>
    <x v="1738"/>
    <x v="2"/>
    <n v="21.8"/>
    <n v="12.3"/>
    <n v="2.6814000000000004"/>
    <n v="3"/>
    <s v=""/>
  </r>
  <r>
    <x v="1739"/>
    <x v="10"/>
    <n v="27.7"/>
    <n v="7.4"/>
    <n v="2.0498000000000003"/>
    <n v="4"/>
    <s v=""/>
  </r>
  <r>
    <x v="1740"/>
    <x v="15"/>
    <n v="23.2"/>
    <n v="24"/>
    <n v="5.5679999999999996"/>
    <n v="5"/>
    <s v=""/>
  </r>
  <r>
    <x v="1741"/>
    <x v="15"/>
    <n v="25.8"/>
    <n v="16.100000000000001"/>
    <n v="4.1538000000000004"/>
    <n v="6"/>
    <s v=""/>
  </r>
  <r>
    <x v="1742"/>
    <x v="1"/>
    <n v="19.8"/>
    <n v="6.6"/>
    <n v="1.3068"/>
    <n v="7"/>
    <n v="160.00000000000003"/>
  </r>
  <r>
    <x v="1743"/>
    <x v="14"/>
    <n v="11.2"/>
    <n v="7.5"/>
    <n v="0.84"/>
    <n v="1"/>
    <s v=""/>
  </r>
  <r>
    <x v="1744"/>
    <x v="6"/>
    <n v="15.7"/>
    <n v="0"/>
    <n v="0"/>
    <n v="2"/>
    <s v=""/>
  </r>
  <r>
    <x v="1745"/>
    <x v="26"/>
    <n v="23.6"/>
    <n v="0.6"/>
    <n v="0.1416"/>
    <n v="3"/>
    <s v=""/>
  </r>
  <r>
    <x v="1746"/>
    <x v="4"/>
    <n v="27.5"/>
    <n v="5.3"/>
    <n v="1.4575"/>
    <n v="4"/>
    <s v=""/>
  </r>
  <r>
    <x v="1747"/>
    <x v="1"/>
    <n v="17.3"/>
    <n v="0"/>
    <n v="0"/>
    <n v="5"/>
    <s v=""/>
  </r>
  <r>
    <x v="1748"/>
    <x v="15"/>
    <n v="11.2"/>
    <n v="32.700000000000003"/>
    <n v="3.6623999999999999"/>
    <n v="6"/>
    <s v=""/>
  </r>
  <r>
    <x v="1749"/>
    <x v="7"/>
    <n v="17.8"/>
    <n v="0"/>
    <n v="0"/>
    <n v="7"/>
    <n v="124.3"/>
  </r>
  <r>
    <x v="1750"/>
    <x v="6"/>
    <n v="16.899999999999999"/>
    <n v="41.8"/>
    <n v="7.0641999999999987"/>
    <n v="1"/>
    <s v=""/>
  </r>
  <r>
    <x v="1751"/>
    <x v="7"/>
    <n v="18.3"/>
    <n v="0"/>
    <n v="0"/>
    <n v="2"/>
    <s v=""/>
  </r>
  <r>
    <x v="1752"/>
    <x v="13"/>
    <n v="12.2"/>
    <n v="0"/>
    <n v="0"/>
    <n v="3"/>
    <s v=""/>
  </r>
  <r>
    <x v="1753"/>
    <x v="9"/>
    <n v="21.2"/>
    <n v="0"/>
    <n v="0"/>
    <n v="4"/>
    <s v=""/>
  </r>
  <r>
    <x v="1754"/>
    <x v="6"/>
    <n v="19.600000000000001"/>
    <n v="48.2"/>
    <n v="9.4472000000000023"/>
    <n v="5"/>
    <s v=""/>
  </r>
  <r>
    <x v="1755"/>
    <x v="5"/>
    <n v="15.6"/>
    <n v="0.6"/>
    <n v="9.3599999999999989E-2"/>
    <n v="6"/>
    <s v=""/>
  </r>
  <r>
    <x v="1756"/>
    <x v="22"/>
    <n v="12.5"/>
    <n v="5.9"/>
    <n v="0.73750000000000004"/>
    <n v="7"/>
    <n v="116.30000000000001"/>
  </r>
  <r>
    <x v="1757"/>
    <x v="8"/>
    <n v="29.3"/>
    <n v="0"/>
    <n v="0"/>
    <n v="1"/>
    <s v=""/>
  </r>
  <r>
    <x v="1758"/>
    <x v="14"/>
    <n v="24.6"/>
    <n v="0"/>
    <n v="0"/>
    <n v="2"/>
    <s v=""/>
  </r>
  <r>
    <x v="1759"/>
    <x v="5"/>
    <n v="21.2"/>
    <n v="3.1"/>
    <n v="0.65720000000000001"/>
    <n v="3"/>
    <s v=""/>
  </r>
  <r>
    <x v="1760"/>
    <x v="6"/>
    <n v="12.7"/>
    <n v="38.1"/>
    <n v="4.8387000000000002"/>
    <n v="4"/>
    <s v=""/>
  </r>
  <r>
    <x v="1761"/>
    <x v="19"/>
    <n v="20.6"/>
    <n v="5.2"/>
    <n v="1.0712000000000002"/>
    <n v="5"/>
    <s v=""/>
  </r>
  <r>
    <x v="1762"/>
    <x v="8"/>
    <n v="28.3"/>
    <n v="0"/>
    <n v="0"/>
    <n v="6"/>
    <s v=""/>
  </r>
  <r>
    <x v="1763"/>
    <x v="15"/>
    <n v="15.1"/>
    <n v="22.6"/>
    <n v="3.4125999999999999"/>
    <n v="7"/>
    <n v="151.80000000000001"/>
  </r>
  <r>
    <x v="1764"/>
    <x v="11"/>
    <n v="24.8"/>
    <n v="10.5"/>
    <n v="2.6040000000000005"/>
    <n v="1"/>
    <s v=""/>
  </r>
  <r>
    <x v="1765"/>
    <x v="17"/>
    <n v="16.899999999999999"/>
    <n v="1.2"/>
    <n v="0.20279999999999998"/>
    <n v="2"/>
    <s v=""/>
  </r>
  <r>
    <x v="1766"/>
    <x v="17"/>
    <n v="23.4"/>
    <n v="0"/>
    <n v="0"/>
    <n v="3"/>
    <s v=""/>
  </r>
  <r>
    <x v="1767"/>
    <x v="3"/>
    <n v="10.5"/>
    <n v="22.2"/>
    <n v="2.331"/>
    <n v="4"/>
    <s v=""/>
  </r>
  <r>
    <x v="1768"/>
    <x v="6"/>
    <n v="16.2"/>
    <n v="0"/>
    <n v="0"/>
    <n v="5"/>
    <s v=""/>
  </r>
  <r>
    <x v="1769"/>
    <x v="12"/>
    <n v="29.7"/>
    <n v="0.3"/>
    <n v="8.9099999999999999E-2"/>
    <n v="6"/>
    <s v=""/>
  </r>
  <r>
    <x v="1770"/>
    <x v="6"/>
    <n v="12.8"/>
    <n v="0"/>
    <n v="0"/>
    <n v="7"/>
    <n v="134.30000000000001"/>
  </r>
  <r>
    <x v="1771"/>
    <x v="4"/>
    <n v="19.100000000000001"/>
    <n v="1.7"/>
    <n v="0.32469999999999999"/>
    <n v="1"/>
    <s v=""/>
  </r>
  <r>
    <x v="1772"/>
    <x v="7"/>
    <n v="27.7"/>
    <n v="0"/>
    <n v="0"/>
    <n v="2"/>
    <s v=""/>
  </r>
  <r>
    <x v="1773"/>
    <x v="10"/>
    <n v="22"/>
    <n v="5.9"/>
    <n v="1.298"/>
    <n v="3"/>
    <s v=""/>
  </r>
  <r>
    <x v="1774"/>
    <x v="2"/>
    <n v="19.600000000000001"/>
    <n v="2.7"/>
    <n v="0.52920000000000011"/>
    <n v="4"/>
    <s v=""/>
  </r>
  <r>
    <x v="1775"/>
    <x v="4"/>
    <n v="16"/>
    <n v="0.3"/>
    <n v="4.8000000000000001E-2"/>
    <n v="5"/>
    <s v=""/>
  </r>
  <r>
    <x v="1776"/>
    <x v="1"/>
    <n v="14"/>
    <n v="1.3"/>
    <n v="0.182"/>
    <n v="6"/>
    <s v=""/>
  </r>
  <r>
    <x v="1777"/>
    <x v="11"/>
    <n v="29.5"/>
    <n v="3.3"/>
    <n v="0.97349999999999992"/>
    <n v="7"/>
    <n v="147.9"/>
  </r>
  <r>
    <x v="1778"/>
    <x v="3"/>
    <n v="12.2"/>
    <n v="0"/>
    <n v="0"/>
    <n v="1"/>
    <s v=""/>
  </r>
  <r>
    <x v="1779"/>
    <x v="7"/>
    <n v="15"/>
    <n v="7.4"/>
    <n v="1.1100000000000001"/>
    <n v="2"/>
    <s v=""/>
  </r>
  <r>
    <x v="1780"/>
    <x v="16"/>
    <n v="10.4"/>
    <n v="2"/>
    <n v="0.20800000000000002"/>
    <n v="3"/>
    <s v=""/>
  </r>
  <r>
    <x v="1781"/>
    <x v="15"/>
    <n v="18.600000000000001"/>
    <n v="4.5999999999999996"/>
    <n v="0.85560000000000003"/>
    <n v="4"/>
    <s v=""/>
  </r>
  <r>
    <x v="1782"/>
    <x v="14"/>
    <n v="23.7"/>
    <n v="7.2"/>
    <n v="1.7063999999999999"/>
    <n v="5"/>
    <s v=""/>
  </r>
  <r>
    <x v="1783"/>
    <x v="1"/>
    <n v="27.2"/>
    <n v="0"/>
    <n v="0"/>
    <n v="6"/>
    <s v=""/>
  </r>
  <r>
    <x v="1784"/>
    <x v="11"/>
    <n v="11.3"/>
    <n v="18.8"/>
    <n v="2.1244000000000001"/>
    <n v="7"/>
    <n v="118.4"/>
  </r>
  <r>
    <x v="1785"/>
    <x v="3"/>
    <n v="22.1"/>
    <n v="0"/>
    <n v="0"/>
    <n v="1"/>
    <s v=""/>
  </r>
  <r>
    <x v="1786"/>
    <x v="8"/>
    <n v="11"/>
    <n v="0"/>
    <n v="0"/>
    <n v="2"/>
    <s v=""/>
  </r>
  <r>
    <x v="1787"/>
    <x v="15"/>
    <n v="14.7"/>
    <n v="0"/>
    <n v="0"/>
    <n v="3"/>
    <s v=""/>
  </r>
  <r>
    <x v="1788"/>
    <x v="15"/>
    <n v="10.4"/>
    <n v="14.4"/>
    <n v="1.4976000000000003"/>
    <n v="4"/>
    <s v=""/>
  </r>
  <r>
    <x v="1789"/>
    <x v="20"/>
    <n v="29.6"/>
    <n v="2.8"/>
    <n v="0.82879999999999998"/>
    <n v="5"/>
    <s v=""/>
  </r>
  <r>
    <x v="1790"/>
    <x v="14"/>
    <n v="11.3"/>
    <n v="7.2"/>
    <n v="0.8136000000000001"/>
    <n v="6"/>
    <s v=""/>
  </r>
  <r>
    <x v="1791"/>
    <x v="16"/>
    <n v="22.4"/>
    <n v="0"/>
    <n v="0"/>
    <n v="7"/>
    <n v="121.5"/>
  </r>
  <r>
    <x v="1792"/>
    <x v="15"/>
    <n v="19.600000000000001"/>
    <n v="28.7"/>
    <n v="5.6251999999999995"/>
    <n v="1"/>
    <s v=""/>
  </r>
  <r>
    <x v="1793"/>
    <x v="2"/>
    <n v="28.5"/>
    <n v="12.9"/>
    <n v="3.6765000000000003"/>
    <n v="2"/>
    <s v=""/>
  </r>
  <r>
    <x v="1794"/>
    <x v="20"/>
    <n v="10.9"/>
    <n v="0"/>
    <n v="0"/>
    <n v="3"/>
    <s v=""/>
  </r>
  <r>
    <x v="1795"/>
    <x v="9"/>
    <n v="13.4"/>
    <n v="15.7"/>
    <n v="2.1038000000000001"/>
    <n v="4"/>
    <s v=""/>
  </r>
  <r>
    <x v="1796"/>
    <x v="15"/>
    <n v="27.3"/>
    <n v="0"/>
    <n v="0"/>
    <n v="5"/>
    <s v=""/>
  </r>
  <r>
    <x v="1797"/>
    <x v="5"/>
    <n v="23.6"/>
    <n v="0"/>
    <n v="0"/>
    <n v="6"/>
    <s v=""/>
  </r>
  <r>
    <x v="1798"/>
    <x v="3"/>
    <n v="26.5"/>
    <n v="20.3"/>
    <n v="5.3795000000000002"/>
    <n v="7"/>
    <n v="149.80000000000001"/>
  </r>
  <r>
    <x v="1799"/>
    <x v="5"/>
    <n v="23.6"/>
    <n v="6.5"/>
    <n v="1.534"/>
    <n v="1"/>
    <s v=""/>
  </r>
  <r>
    <x v="1800"/>
    <x v="7"/>
    <n v="22.4"/>
    <n v="13.3"/>
    <n v="2.9792000000000001"/>
    <n v="2"/>
    <s v=""/>
  </r>
  <r>
    <x v="1801"/>
    <x v="14"/>
    <n v="22"/>
    <n v="15.5"/>
    <n v="3.41"/>
    <n v="3"/>
    <s v=""/>
  </r>
  <r>
    <x v="1802"/>
    <x v="23"/>
    <n v="10.8"/>
    <n v="0.4"/>
    <n v="4.3200000000000002E-2"/>
    <n v="4"/>
    <s v=""/>
  </r>
  <r>
    <x v="1803"/>
    <x v="11"/>
    <n v="21.6"/>
    <n v="0"/>
    <n v="0"/>
    <n v="5"/>
    <s v=""/>
  </r>
  <r>
    <x v="1804"/>
    <x v="4"/>
    <n v="10.1"/>
    <n v="0"/>
    <n v="0"/>
    <n v="6"/>
    <s v=""/>
  </r>
  <r>
    <x v="1805"/>
    <x v="7"/>
    <n v="29"/>
    <n v="12.6"/>
    <n v="3.6539999999999999"/>
    <n v="7"/>
    <n v="139.5"/>
  </r>
  <r>
    <x v="1806"/>
    <x v="4"/>
    <n v="16.399999999999999"/>
    <n v="3.7"/>
    <n v="0.60680000000000001"/>
    <n v="1"/>
    <s v=""/>
  </r>
  <r>
    <x v="1807"/>
    <x v="15"/>
    <n v="13.5"/>
    <n v="38.5"/>
    <n v="5.1974999999999998"/>
    <n v="2"/>
    <s v=""/>
  </r>
  <r>
    <x v="1808"/>
    <x v="10"/>
    <n v="18.100000000000001"/>
    <n v="3"/>
    <n v="0.54300000000000004"/>
    <n v="3"/>
    <s v=""/>
  </r>
  <r>
    <x v="1809"/>
    <x v="3"/>
    <n v="20.399999999999999"/>
    <n v="11.7"/>
    <n v="2.3867999999999996"/>
    <n v="4"/>
    <s v=""/>
  </r>
  <r>
    <x v="1810"/>
    <x v="11"/>
    <n v="29.6"/>
    <n v="0.9"/>
    <n v="0.26640000000000003"/>
    <n v="5"/>
    <s v=""/>
  </r>
  <r>
    <x v="1811"/>
    <x v="28"/>
    <n v="11.4"/>
    <n v="0.6"/>
    <n v="6.8400000000000002E-2"/>
    <n v="6"/>
    <s v=""/>
  </r>
  <r>
    <x v="1812"/>
    <x v="7"/>
    <n v="28.8"/>
    <n v="14.1"/>
    <n v="4.0607999999999995"/>
    <n v="7"/>
    <n v="138.20000000000002"/>
  </r>
  <r>
    <x v="1813"/>
    <x v="6"/>
    <n v="11.8"/>
    <n v="42.4"/>
    <n v="5.0031999999999996"/>
    <n v="1"/>
    <s v=""/>
  </r>
  <r>
    <x v="1814"/>
    <x v="3"/>
    <n v="11.5"/>
    <n v="10.1"/>
    <n v="1.1615"/>
    <n v="2"/>
    <s v=""/>
  </r>
  <r>
    <x v="1815"/>
    <x v="9"/>
    <n v="13.6"/>
    <n v="8.4"/>
    <n v="1.1423999999999999"/>
    <n v="3"/>
    <s v=""/>
  </r>
  <r>
    <x v="1816"/>
    <x v="27"/>
    <n v="14.1"/>
    <n v="0.7"/>
    <n v="9.8699999999999996E-2"/>
    <n v="4"/>
    <s v=""/>
  </r>
  <r>
    <x v="1817"/>
    <x v="15"/>
    <n v="19.399999999999999"/>
    <n v="32.700000000000003"/>
    <n v="6.3437999999999999"/>
    <n v="5"/>
    <s v=""/>
  </r>
  <r>
    <x v="1818"/>
    <x v="29"/>
    <n v="28.5"/>
    <n v="0"/>
    <n v="0"/>
    <n v="6"/>
    <s v=""/>
  </r>
  <r>
    <x v="1819"/>
    <x v="15"/>
    <n v="23.7"/>
    <n v="12.2"/>
    <n v="2.8914"/>
    <n v="7"/>
    <n v="122.60000000000001"/>
  </r>
  <r>
    <x v="1820"/>
    <x v="16"/>
    <n v="21.7"/>
    <n v="0"/>
    <n v="0"/>
    <n v="1"/>
    <s v=""/>
  </r>
  <r>
    <x v="1821"/>
    <x v="2"/>
    <n v="13.3"/>
    <n v="0"/>
    <n v="0"/>
    <n v="2"/>
    <s v=""/>
  </r>
  <r>
    <x v="1822"/>
    <x v="5"/>
    <n v="14.4"/>
    <n v="0"/>
    <n v="0"/>
    <n v="3"/>
    <s v=""/>
  </r>
  <r>
    <x v="1823"/>
    <x v="7"/>
    <n v="28.5"/>
    <n v="21.5"/>
    <n v="6.1275000000000004"/>
    <n v="4"/>
    <s v=""/>
  </r>
  <r>
    <x v="1824"/>
    <x v="15"/>
    <n v="20.5"/>
    <n v="0"/>
    <n v="0"/>
    <n v="5"/>
    <s v=""/>
  </r>
  <r>
    <x v="1825"/>
    <x v="6"/>
    <n v="11.4"/>
    <n v="39"/>
    <n v="4.4460000000000006"/>
    <n v="6"/>
    <s v=""/>
  </r>
  <r>
    <x v="1826"/>
    <x v="5"/>
    <n v="12.5"/>
    <n v="0"/>
    <n v="0"/>
    <n v="7"/>
    <n v="122.30000000000001"/>
  </r>
  <r>
    <x v="1827"/>
    <x v="11"/>
    <n v="16.600000000000001"/>
    <n v="4.5999999999999996"/>
    <n v="0.76359999999999995"/>
    <n v="1"/>
    <s v=""/>
  </r>
  <r>
    <x v="1828"/>
    <x v="11"/>
    <n v="10.6"/>
    <n v="11.3"/>
    <n v="1.1978"/>
    <n v="2"/>
    <s v=""/>
  </r>
  <r>
    <x v="1829"/>
    <x v="3"/>
    <n v="27.9"/>
    <n v="16.100000000000001"/>
    <n v="4.4919000000000002"/>
    <n v="3"/>
    <s v=""/>
  </r>
  <r>
    <x v="1830"/>
    <x v="6"/>
    <n v="11.1"/>
    <n v="28.2"/>
    <n v="3.1301999999999999"/>
    <n v="4"/>
    <s v=""/>
  </r>
  <r>
    <x v="1831"/>
    <x v="3"/>
    <n v="21.5"/>
    <n v="12.8"/>
    <n v="2.7519999999999998"/>
    <n v="5"/>
    <s v=""/>
  </r>
  <r>
    <x v="1832"/>
    <x v="2"/>
    <n v="28.4"/>
    <n v="4.5999999999999996"/>
    <n v="1.3063999999999998"/>
    <n v="6"/>
    <s v=""/>
  </r>
  <r>
    <x v="1833"/>
    <x v="18"/>
    <n v="18.100000000000001"/>
    <n v="5.9"/>
    <n v="1.0679000000000003"/>
    <n v="7"/>
    <n v="134.19999999999999"/>
  </r>
  <r>
    <x v="1834"/>
    <x v="16"/>
    <n v="25.3"/>
    <n v="0"/>
    <n v="0"/>
    <n v="1"/>
    <s v=""/>
  </r>
  <r>
    <x v="1835"/>
    <x v="5"/>
    <n v="15.6"/>
    <n v="10.6"/>
    <n v="1.6536"/>
    <n v="2"/>
    <s v=""/>
  </r>
  <r>
    <x v="1836"/>
    <x v="15"/>
    <n v="19.899999999999999"/>
    <n v="0"/>
    <n v="0"/>
    <n v="3"/>
    <s v=""/>
  </r>
  <r>
    <x v="1837"/>
    <x v="3"/>
    <n v="24.7"/>
    <n v="14.7"/>
    <n v="3.6308999999999996"/>
    <n v="4"/>
    <s v=""/>
  </r>
  <r>
    <x v="1838"/>
    <x v="19"/>
    <n v="21.9"/>
    <n v="5.6"/>
    <n v="1.2263999999999999"/>
    <n v="5"/>
    <s v=""/>
  </r>
  <r>
    <x v="1839"/>
    <x v="10"/>
    <n v="18"/>
    <n v="6.2"/>
    <n v="1.1160000000000001"/>
    <n v="6"/>
    <s v=""/>
  </r>
  <r>
    <x v="1840"/>
    <x v="25"/>
    <n v="24.5"/>
    <n v="0.6"/>
    <n v="0.14699999999999999"/>
    <n v="7"/>
    <n v="149.9"/>
  </r>
  <r>
    <x v="1841"/>
    <x v="4"/>
    <n v="10.9"/>
    <n v="0"/>
    <n v="0"/>
    <n v="1"/>
    <s v=""/>
  </r>
  <r>
    <x v="1842"/>
    <x v="22"/>
    <n v="11.3"/>
    <n v="2.7"/>
    <n v="0.30510000000000004"/>
    <n v="2"/>
    <s v=""/>
  </r>
  <r>
    <x v="1843"/>
    <x v="6"/>
    <n v="13.2"/>
    <n v="30"/>
    <n v="3.96"/>
    <n v="3"/>
    <s v=""/>
  </r>
  <r>
    <x v="1844"/>
    <x v="4"/>
    <n v="18.7"/>
    <n v="4.7"/>
    <n v="0.87890000000000001"/>
    <n v="4"/>
    <s v=""/>
  </r>
  <r>
    <x v="1845"/>
    <x v="4"/>
    <n v="12.1"/>
    <n v="1.5"/>
    <n v="0.18149999999999999"/>
    <n v="5"/>
    <s v=""/>
  </r>
  <r>
    <x v="1846"/>
    <x v="11"/>
    <n v="11.9"/>
    <n v="1.3"/>
    <n v="0.1547"/>
    <n v="6"/>
    <s v=""/>
  </r>
  <r>
    <x v="1847"/>
    <x v="22"/>
    <n v="17.7"/>
    <n v="2.6"/>
    <n v="0.46020000000000005"/>
    <n v="7"/>
    <n v="95.800000000000011"/>
  </r>
  <r>
    <x v="1848"/>
    <x v="17"/>
    <n v="25.9"/>
    <n v="0.8"/>
    <n v="0.2072"/>
    <n v="1"/>
    <s v=""/>
  </r>
  <r>
    <x v="1849"/>
    <x v="2"/>
    <n v="27.7"/>
    <n v="0"/>
    <n v="0"/>
    <n v="2"/>
    <s v=""/>
  </r>
  <r>
    <x v="1850"/>
    <x v="9"/>
    <n v="13.3"/>
    <n v="13.3"/>
    <n v="1.7689000000000001"/>
    <n v="3"/>
    <s v=""/>
  </r>
  <r>
    <x v="1851"/>
    <x v="15"/>
    <n v="11.7"/>
    <n v="4.9000000000000004"/>
    <n v="0.57330000000000003"/>
    <n v="4"/>
    <s v=""/>
  </r>
  <r>
    <x v="1852"/>
    <x v="22"/>
    <n v="26.5"/>
    <n v="4.5"/>
    <n v="1.1924999999999999"/>
    <n v="5"/>
    <s v=""/>
  </r>
  <r>
    <x v="1853"/>
    <x v="23"/>
    <n v="18.7"/>
    <n v="2.2999999999999998"/>
    <n v="0.43009999999999998"/>
    <n v="6"/>
    <s v=""/>
  </r>
  <r>
    <x v="1854"/>
    <x v="18"/>
    <n v="11.7"/>
    <n v="6"/>
    <n v="0.70199999999999985"/>
    <n v="7"/>
    <n v="135.5"/>
  </r>
  <r>
    <x v="1855"/>
    <x v="15"/>
    <n v="27.5"/>
    <n v="22.6"/>
    <n v="6.2149999999999999"/>
    <n v="1"/>
    <s v=""/>
  </r>
  <r>
    <x v="1856"/>
    <x v="23"/>
    <n v="27.4"/>
    <n v="0"/>
    <n v="0"/>
    <n v="2"/>
    <s v=""/>
  </r>
  <r>
    <x v="1857"/>
    <x v="7"/>
    <n v="14.8"/>
    <n v="0"/>
    <n v="0"/>
    <n v="3"/>
    <s v=""/>
  </r>
  <r>
    <x v="1858"/>
    <x v="13"/>
    <n v="26.2"/>
    <n v="0"/>
    <n v="0"/>
    <n v="4"/>
    <s v=""/>
  </r>
  <r>
    <x v="1859"/>
    <x v="11"/>
    <n v="12.9"/>
    <n v="17.899999999999999"/>
    <n v="2.3090999999999999"/>
    <n v="5"/>
    <s v=""/>
  </r>
  <r>
    <x v="1860"/>
    <x v="21"/>
    <n v="12.5"/>
    <n v="0"/>
    <n v="0"/>
    <n v="6"/>
    <s v=""/>
  </r>
  <r>
    <x v="1861"/>
    <x v="20"/>
    <n v="12.3"/>
    <n v="0"/>
    <n v="0"/>
    <n v="7"/>
    <n v="133.60000000000002"/>
  </r>
  <r>
    <x v="1862"/>
    <x v="1"/>
    <n v="19.399999999999999"/>
    <n v="0"/>
    <n v="0"/>
    <n v="1"/>
    <s v=""/>
  </r>
  <r>
    <x v="1863"/>
    <x v="11"/>
    <n v="20.9"/>
    <n v="0"/>
    <n v="0"/>
    <n v="2"/>
    <s v=""/>
  </r>
  <r>
    <x v="1864"/>
    <x v="5"/>
    <n v="10.4"/>
    <n v="0"/>
    <n v="0"/>
    <n v="3"/>
    <s v=""/>
  </r>
  <r>
    <x v="1865"/>
    <x v="7"/>
    <n v="22.2"/>
    <n v="2.5"/>
    <n v="0.55500000000000005"/>
    <n v="4"/>
    <s v=""/>
  </r>
  <r>
    <x v="1866"/>
    <x v="6"/>
    <n v="16.8"/>
    <n v="0"/>
    <n v="0"/>
    <n v="5"/>
    <s v=""/>
  </r>
  <r>
    <x v="1867"/>
    <x v="15"/>
    <n v="21.7"/>
    <n v="33.299999999999997"/>
    <n v="7.2260999999999989"/>
    <n v="6"/>
    <s v=""/>
  </r>
  <r>
    <x v="1868"/>
    <x v="7"/>
    <n v="10.199999999999999"/>
    <n v="16.600000000000001"/>
    <n v="1.6932"/>
    <n v="7"/>
    <n v="121.6"/>
  </r>
  <r>
    <x v="1869"/>
    <x v="6"/>
    <n v="16.5"/>
    <n v="0"/>
    <n v="0"/>
    <n v="1"/>
    <s v=""/>
  </r>
  <r>
    <x v="1870"/>
    <x v="12"/>
    <n v="29.1"/>
    <n v="0.5"/>
    <n v="0.14550000000000002"/>
    <n v="2"/>
    <s v=""/>
  </r>
  <r>
    <x v="1871"/>
    <x v="7"/>
    <n v="17.8"/>
    <n v="0"/>
    <n v="0"/>
    <n v="3"/>
    <s v=""/>
  </r>
  <r>
    <x v="1872"/>
    <x v="6"/>
    <n v="10"/>
    <n v="0"/>
    <n v="0"/>
    <n v="4"/>
    <s v=""/>
  </r>
  <r>
    <x v="1873"/>
    <x v="5"/>
    <n v="15.5"/>
    <n v="8.6"/>
    <n v="1.3329999999999997"/>
    <n v="5"/>
    <s v=""/>
  </r>
  <r>
    <x v="1874"/>
    <x v="6"/>
    <n v="15.3"/>
    <n v="21.4"/>
    <n v="3.2742"/>
    <n v="6"/>
    <s v=""/>
  </r>
  <r>
    <x v="1875"/>
    <x v="8"/>
    <n v="23.7"/>
    <n v="0"/>
    <n v="0"/>
    <n v="7"/>
    <n v="127.9"/>
  </r>
  <r>
    <x v="1876"/>
    <x v="7"/>
    <n v="26.1"/>
    <n v="12.5"/>
    <n v="3.2625000000000002"/>
    <n v="1"/>
    <s v=""/>
  </r>
  <r>
    <x v="1877"/>
    <x v="7"/>
    <n v="13.4"/>
    <n v="0"/>
    <n v="0"/>
    <n v="2"/>
    <s v=""/>
  </r>
  <r>
    <x v="1878"/>
    <x v="1"/>
    <n v="17.8"/>
    <n v="3.7"/>
    <n v="0.65859999999999996"/>
    <n v="3"/>
    <s v=""/>
  </r>
  <r>
    <x v="1879"/>
    <x v="20"/>
    <n v="13"/>
    <n v="2.7"/>
    <n v="0.35100000000000003"/>
    <n v="4"/>
    <s v=""/>
  </r>
  <r>
    <x v="1880"/>
    <x v="3"/>
    <n v="28.2"/>
    <n v="0"/>
    <n v="0"/>
    <n v="5"/>
    <s v=""/>
  </r>
  <r>
    <x v="1881"/>
    <x v="6"/>
    <n v="23"/>
    <n v="0"/>
    <n v="0"/>
    <n v="6"/>
    <s v=""/>
  </r>
  <r>
    <x v="1882"/>
    <x v="3"/>
    <n v="21.5"/>
    <n v="0"/>
    <n v="0"/>
    <n v="7"/>
    <n v="143"/>
  </r>
  <r>
    <x v="1883"/>
    <x v="14"/>
    <n v="22.3"/>
    <n v="0"/>
    <n v="0"/>
    <n v="1"/>
    <s v=""/>
  </r>
  <r>
    <x v="1884"/>
    <x v="6"/>
    <n v="28.2"/>
    <n v="0"/>
    <n v="0"/>
    <n v="2"/>
    <s v=""/>
  </r>
  <r>
    <x v="1885"/>
    <x v="20"/>
    <n v="11.9"/>
    <n v="3.4"/>
    <n v="0.40460000000000002"/>
    <n v="3"/>
    <s v=""/>
  </r>
  <r>
    <x v="1886"/>
    <x v="14"/>
    <n v="20.9"/>
    <n v="7.5"/>
    <n v="1.5674999999999999"/>
    <n v="4"/>
    <s v=""/>
  </r>
  <r>
    <x v="1887"/>
    <x v="28"/>
    <n v="18.399999999999999"/>
    <n v="0.2"/>
    <n v="3.6799999999999999E-2"/>
    <n v="5"/>
    <s v=""/>
  </r>
  <r>
    <x v="1888"/>
    <x v="6"/>
    <n v="27.8"/>
    <n v="35.9"/>
    <n v="9.9802"/>
    <n v="6"/>
    <s v=""/>
  </r>
  <r>
    <x v="1889"/>
    <x v="15"/>
    <n v="20.7"/>
    <n v="14.7"/>
    <n v="3.0428999999999995"/>
    <n v="7"/>
    <n v="150.19999999999999"/>
  </r>
  <r>
    <x v="1890"/>
    <x v="1"/>
    <n v="13"/>
    <n v="0"/>
    <n v="0"/>
    <n v="1"/>
    <s v=""/>
  </r>
  <r>
    <x v="1891"/>
    <x v="15"/>
    <n v="29.4"/>
    <n v="0"/>
    <n v="0"/>
    <n v="2"/>
    <s v=""/>
  </r>
  <r>
    <x v="1892"/>
    <x v="2"/>
    <n v="19.8"/>
    <n v="13.9"/>
    <n v="2.7522000000000002"/>
    <n v="3"/>
    <s v=""/>
  </r>
  <r>
    <x v="1893"/>
    <x v="7"/>
    <n v="10.9"/>
    <n v="17"/>
    <n v="1.8530000000000002"/>
    <n v="4"/>
    <s v=""/>
  </r>
  <r>
    <x v="1894"/>
    <x v="6"/>
    <n v="27.3"/>
    <n v="15.8"/>
    <n v="4.3134000000000006"/>
    <n v="5"/>
    <s v=""/>
  </r>
  <r>
    <x v="1895"/>
    <x v="15"/>
    <n v="16.399999999999999"/>
    <n v="0"/>
    <n v="0"/>
    <n v="6"/>
    <s v=""/>
  </r>
  <r>
    <x v="1896"/>
    <x v="11"/>
    <n v="28"/>
    <n v="9.6999999999999993"/>
    <n v="2.7159999999999997"/>
    <n v="7"/>
    <n v="144.80000000000001"/>
  </r>
  <r>
    <x v="1897"/>
    <x v="3"/>
    <n v="17.399999999999999"/>
    <n v="6.6"/>
    <n v="1.1483999999999999"/>
    <n v="1"/>
    <s v=""/>
  </r>
  <r>
    <x v="1898"/>
    <x v="4"/>
    <n v="25.7"/>
    <n v="0.7"/>
    <n v="0.17989999999999998"/>
    <n v="2"/>
    <s v=""/>
  </r>
  <r>
    <x v="1899"/>
    <x v="15"/>
    <n v="20.100000000000001"/>
    <n v="11"/>
    <n v="2.2110000000000003"/>
    <n v="3"/>
    <s v=""/>
  </r>
  <r>
    <x v="1900"/>
    <x v="15"/>
    <n v="17.899999999999999"/>
    <n v="0"/>
    <n v="0"/>
    <n v="4"/>
    <s v=""/>
  </r>
  <r>
    <x v="1901"/>
    <x v="7"/>
    <n v="10.7"/>
    <n v="6.4"/>
    <n v="0.68480000000000008"/>
    <n v="5"/>
    <s v=""/>
  </r>
  <r>
    <x v="1902"/>
    <x v="5"/>
    <n v="20.399999999999999"/>
    <n v="0"/>
    <n v="0"/>
    <n v="6"/>
    <s v=""/>
  </r>
  <r>
    <x v="1903"/>
    <x v="8"/>
    <n v="25.4"/>
    <n v="1"/>
    <n v="0.254"/>
    <n v="7"/>
    <n v="137.6"/>
  </r>
  <r>
    <x v="1904"/>
    <x v="4"/>
    <n v="10.9"/>
    <n v="0.2"/>
    <n v="2.18E-2"/>
    <n v="1"/>
    <s v=""/>
  </r>
  <r>
    <x v="1905"/>
    <x v="23"/>
    <n v="18.5"/>
    <n v="0.5"/>
    <n v="9.2499999999999999E-2"/>
    <n v="2"/>
    <s v=""/>
  </r>
  <r>
    <x v="1906"/>
    <x v="6"/>
    <n v="14.8"/>
    <n v="50.3"/>
    <n v="7.444399999999999"/>
    <n v="3"/>
    <s v=""/>
  </r>
  <r>
    <x v="1907"/>
    <x v="14"/>
    <n v="28.5"/>
    <n v="0.7"/>
    <n v="0.19949999999999998"/>
    <n v="4"/>
    <s v=""/>
  </r>
  <r>
    <x v="1908"/>
    <x v="27"/>
    <n v="19.399999999999999"/>
    <n v="0"/>
    <n v="0"/>
    <n v="5"/>
    <s v=""/>
  </r>
  <r>
    <x v="1909"/>
    <x v="19"/>
    <n v="20.7"/>
    <n v="4.7"/>
    <n v="0.9729000000000001"/>
    <n v="6"/>
    <s v=""/>
  </r>
  <r>
    <x v="1910"/>
    <x v="22"/>
    <n v="25.7"/>
    <n v="0"/>
    <n v="0"/>
    <n v="7"/>
    <n v="138.5"/>
  </r>
  <r>
    <x v="1911"/>
    <x v="15"/>
    <n v="21.4"/>
    <n v="0"/>
    <n v="0"/>
    <n v="1"/>
    <s v=""/>
  </r>
  <r>
    <x v="1912"/>
    <x v="6"/>
    <n v="19.2"/>
    <n v="0"/>
    <n v="0"/>
    <n v="2"/>
    <s v=""/>
  </r>
  <r>
    <x v="1913"/>
    <x v="14"/>
    <n v="19.399999999999999"/>
    <n v="14.2"/>
    <n v="2.7547999999999995"/>
    <n v="3"/>
    <s v=""/>
  </r>
  <r>
    <x v="1914"/>
    <x v="15"/>
    <n v="24.2"/>
    <n v="1.9"/>
    <n v="0.45979999999999999"/>
    <n v="4"/>
    <s v=""/>
  </r>
  <r>
    <x v="1915"/>
    <x v="3"/>
    <n v="27.7"/>
    <n v="19.5"/>
    <n v="5.4014999999999995"/>
    <n v="5"/>
    <s v=""/>
  </r>
  <r>
    <x v="1916"/>
    <x v="1"/>
    <n v="16.899999999999999"/>
    <n v="4.0999999999999996"/>
    <n v="0.69289999999999996"/>
    <n v="6"/>
    <s v=""/>
  </r>
  <r>
    <x v="1917"/>
    <x v="15"/>
    <n v="11.8"/>
    <n v="0"/>
    <n v="0"/>
    <n v="7"/>
    <n v="140.6"/>
  </r>
  <r>
    <x v="1918"/>
    <x v="8"/>
    <n v="15.7"/>
    <n v="9.4"/>
    <n v="1.4758000000000002"/>
    <n v="1"/>
    <s v=""/>
  </r>
  <r>
    <x v="1919"/>
    <x v="2"/>
    <n v="14.2"/>
    <n v="0"/>
    <n v="0"/>
    <n v="2"/>
    <s v=""/>
  </r>
  <r>
    <x v="1920"/>
    <x v="11"/>
    <n v="18.100000000000001"/>
    <n v="13.1"/>
    <n v="2.3711000000000002"/>
    <n v="3"/>
    <s v=""/>
  </r>
  <r>
    <x v="1921"/>
    <x v="15"/>
    <n v="21.9"/>
    <n v="27.5"/>
    <n v="6.0225"/>
    <n v="4"/>
    <s v=""/>
  </r>
  <r>
    <x v="1922"/>
    <x v="6"/>
    <n v="28"/>
    <n v="2.1"/>
    <n v="0.58800000000000008"/>
    <n v="5"/>
    <s v=""/>
  </r>
  <r>
    <x v="1923"/>
    <x v="9"/>
    <n v="14.2"/>
    <n v="7"/>
    <n v="0.99399999999999988"/>
    <n v="6"/>
    <s v=""/>
  </r>
  <r>
    <x v="1924"/>
    <x v="9"/>
    <n v="11.1"/>
    <n v="0"/>
    <n v="0"/>
    <n v="7"/>
    <n v="123.2"/>
  </r>
  <r>
    <x v="1925"/>
    <x v="10"/>
    <n v="11.8"/>
    <n v="6"/>
    <n v="0.70800000000000007"/>
    <n v="1"/>
    <s v=""/>
  </r>
  <r>
    <x v="1926"/>
    <x v="29"/>
    <n v="26.8"/>
    <n v="0.9"/>
    <n v="0.2412"/>
    <n v="2"/>
    <s v=""/>
  </r>
  <r>
    <x v="1927"/>
    <x v="6"/>
    <n v="27.3"/>
    <n v="44.5"/>
    <n v="12.148500000000002"/>
    <n v="3"/>
    <s v=""/>
  </r>
  <r>
    <x v="1928"/>
    <x v="4"/>
    <n v="14.3"/>
    <n v="3.7"/>
    <n v="0.52910000000000001"/>
    <n v="4"/>
    <s v=""/>
  </r>
  <r>
    <x v="1929"/>
    <x v="1"/>
    <n v="19.399999999999999"/>
    <n v="0"/>
    <n v="0"/>
    <n v="5"/>
    <s v=""/>
  </r>
  <r>
    <x v="1930"/>
    <x v="15"/>
    <n v="26.5"/>
    <n v="0"/>
    <n v="0"/>
    <n v="6"/>
    <s v=""/>
  </r>
  <r>
    <x v="1931"/>
    <x v="15"/>
    <n v="28.3"/>
    <n v="14.4"/>
    <n v="4.0752000000000006"/>
    <n v="7"/>
    <n v="154.4"/>
  </r>
  <r>
    <x v="1932"/>
    <x v="23"/>
    <n v="19.8"/>
    <n v="0"/>
    <n v="0"/>
    <n v="1"/>
    <s v=""/>
  </r>
  <r>
    <x v="1933"/>
    <x v="6"/>
    <n v="16"/>
    <n v="28.7"/>
    <n v="4.5919999999999996"/>
    <n v="2"/>
    <s v=""/>
  </r>
  <r>
    <x v="1934"/>
    <x v="15"/>
    <n v="14.5"/>
    <n v="12"/>
    <n v="1.74"/>
    <n v="3"/>
    <s v=""/>
  </r>
  <r>
    <x v="1935"/>
    <x v="11"/>
    <n v="14.3"/>
    <n v="13"/>
    <n v="1.859"/>
    <n v="4"/>
    <s v=""/>
  </r>
  <r>
    <x v="1936"/>
    <x v="14"/>
    <n v="12.7"/>
    <n v="10.7"/>
    <n v="1.3588999999999998"/>
    <n v="5"/>
    <s v=""/>
  </r>
  <r>
    <x v="1937"/>
    <x v="18"/>
    <n v="12.6"/>
    <n v="0"/>
    <n v="0"/>
    <n v="6"/>
    <s v=""/>
  </r>
  <r>
    <x v="1938"/>
    <x v="22"/>
    <n v="19.899999999999999"/>
    <n v="6.6"/>
    <n v="1.3133999999999997"/>
    <n v="7"/>
    <n v="109.79999999999998"/>
  </r>
  <r>
    <x v="1939"/>
    <x v="3"/>
    <n v="27.4"/>
    <n v="6.6"/>
    <n v="1.8083999999999998"/>
    <n v="1"/>
    <s v=""/>
  </r>
  <r>
    <x v="1940"/>
    <x v="15"/>
    <n v="27.4"/>
    <n v="0"/>
    <n v="0"/>
    <n v="2"/>
    <s v=""/>
  </r>
  <r>
    <x v="1941"/>
    <x v="24"/>
    <n v="11.2"/>
    <n v="0.3"/>
    <n v="3.3599999999999998E-2"/>
    <n v="3"/>
    <s v=""/>
  </r>
  <r>
    <x v="1942"/>
    <x v="7"/>
    <n v="19.899999999999999"/>
    <n v="19.399999999999999"/>
    <n v="3.8605999999999994"/>
    <n v="4"/>
    <s v=""/>
  </r>
  <r>
    <x v="1943"/>
    <x v="0"/>
    <n v="13"/>
    <n v="0.4"/>
    <n v="5.2000000000000005E-2"/>
    <n v="5"/>
    <s v=""/>
  </r>
  <r>
    <x v="1944"/>
    <x v="14"/>
    <n v="25.4"/>
    <n v="12.4"/>
    <n v="3.1496"/>
    <n v="6"/>
    <s v=""/>
  </r>
  <r>
    <x v="1945"/>
    <x v="5"/>
    <n v="23.5"/>
    <n v="0.7"/>
    <n v="0.16449999999999998"/>
    <n v="7"/>
    <n v="147.80000000000001"/>
  </r>
  <r>
    <x v="1946"/>
    <x v="18"/>
    <n v="16"/>
    <n v="0.1"/>
    <n v="1.6E-2"/>
    <n v="1"/>
    <s v=""/>
  </r>
  <r>
    <x v="1947"/>
    <x v="2"/>
    <n v="25"/>
    <n v="11.7"/>
    <n v="2.9249999999999998"/>
    <n v="2"/>
    <s v=""/>
  </r>
  <r>
    <x v="1948"/>
    <x v="27"/>
    <n v="22.2"/>
    <n v="0.9"/>
    <n v="0.19980000000000001"/>
    <n v="3"/>
    <s v=""/>
  </r>
  <r>
    <x v="1949"/>
    <x v="20"/>
    <n v="29.6"/>
    <n v="0"/>
    <n v="0"/>
    <n v="4"/>
    <s v=""/>
  </r>
  <r>
    <x v="1950"/>
    <x v="6"/>
    <n v="10.1"/>
    <n v="0"/>
    <n v="0"/>
    <n v="5"/>
    <s v=""/>
  </r>
  <r>
    <x v="1951"/>
    <x v="5"/>
    <n v="26.3"/>
    <n v="6.7"/>
    <n v="1.7621"/>
    <n v="6"/>
    <s v=""/>
  </r>
  <r>
    <x v="1952"/>
    <x v="6"/>
    <n v="27.3"/>
    <n v="15.3"/>
    <n v="4.1769000000000007"/>
    <n v="7"/>
    <n v="156.50000000000003"/>
  </r>
  <r>
    <x v="1953"/>
    <x v="7"/>
    <n v="27.8"/>
    <n v="0"/>
    <n v="0"/>
    <n v="1"/>
    <s v=""/>
  </r>
  <r>
    <x v="1954"/>
    <x v="2"/>
    <n v="16.7"/>
    <n v="4.9000000000000004"/>
    <n v="0.81830000000000003"/>
    <n v="2"/>
    <s v=""/>
  </r>
  <r>
    <x v="1955"/>
    <x v="11"/>
    <n v="15"/>
    <n v="9.4"/>
    <n v="1.41"/>
    <n v="3"/>
    <s v=""/>
  </r>
  <r>
    <x v="1956"/>
    <x v="6"/>
    <n v="10.4"/>
    <n v="28.5"/>
    <n v="2.9640000000000004"/>
    <n v="4"/>
    <s v=""/>
  </r>
  <r>
    <x v="1957"/>
    <x v="11"/>
    <n v="18.100000000000001"/>
    <n v="9.6"/>
    <n v="1.7376000000000003"/>
    <n v="5"/>
    <s v=""/>
  </r>
  <r>
    <x v="1958"/>
    <x v="29"/>
    <n v="26.7"/>
    <n v="1.5"/>
    <n v="0.40049999999999997"/>
    <n v="6"/>
    <s v=""/>
  </r>
  <r>
    <x v="1959"/>
    <x v="9"/>
    <n v="22.9"/>
    <n v="8.9"/>
    <n v="2.0381"/>
    <n v="7"/>
    <n v="137.6"/>
  </r>
  <r>
    <x v="1960"/>
    <x v="11"/>
    <n v="29.3"/>
    <n v="0"/>
    <n v="0"/>
    <n v="1"/>
    <s v=""/>
  </r>
  <r>
    <x v="1961"/>
    <x v="3"/>
    <n v="26.4"/>
    <n v="3.2"/>
    <n v="0.8448"/>
    <n v="2"/>
    <s v=""/>
  </r>
  <r>
    <x v="1962"/>
    <x v="14"/>
    <n v="20"/>
    <n v="7.3"/>
    <n v="1.46"/>
    <n v="3"/>
    <s v=""/>
  </r>
  <r>
    <x v="1963"/>
    <x v="7"/>
    <n v="17.100000000000001"/>
    <n v="0"/>
    <n v="0"/>
    <n v="4"/>
    <s v=""/>
  </r>
  <r>
    <x v="1964"/>
    <x v="1"/>
    <n v="18.8"/>
    <n v="0"/>
    <n v="0"/>
    <n v="5"/>
    <s v=""/>
  </r>
  <r>
    <x v="1965"/>
    <x v="9"/>
    <n v="12.6"/>
    <n v="4.4000000000000004"/>
    <n v="0.5544"/>
    <n v="6"/>
    <s v=""/>
  </r>
  <r>
    <x v="1966"/>
    <x v="18"/>
    <n v="24"/>
    <n v="0"/>
    <n v="0"/>
    <n v="7"/>
    <n v="148.19999999999999"/>
  </r>
  <r>
    <x v="1967"/>
    <x v="15"/>
    <n v="13.4"/>
    <n v="35.6"/>
    <n v="4.7704000000000004"/>
    <n v="1"/>
    <s v=""/>
  </r>
  <r>
    <x v="1968"/>
    <x v="6"/>
    <n v="25.7"/>
    <n v="21.1"/>
    <n v="5.4226999999999999"/>
    <n v="2"/>
    <s v=""/>
  </r>
  <r>
    <x v="1969"/>
    <x v="17"/>
    <n v="24.9"/>
    <n v="2"/>
    <n v="0.498"/>
    <n v="3"/>
    <s v=""/>
  </r>
  <r>
    <x v="1970"/>
    <x v="7"/>
    <n v="12.5"/>
    <n v="0"/>
    <n v="0"/>
    <n v="4"/>
    <s v=""/>
  </r>
  <r>
    <x v="1971"/>
    <x v="6"/>
    <n v="21.8"/>
    <n v="0"/>
    <n v="0"/>
    <n v="5"/>
    <s v=""/>
  </r>
  <r>
    <x v="1972"/>
    <x v="1"/>
    <n v="15.8"/>
    <n v="6.7"/>
    <n v="1.0586000000000002"/>
    <n v="6"/>
    <s v=""/>
  </r>
  <r>
    <x v="1973"/>
    <x v="8"/>
    <n v="13.9"/>
    <n v="0"/>
    <n v="0"/>
    <n v="7"/>
    <n v="128"/>
  </r>
  <r>
    <x v="1974"/>
    <x v="16"/>
    <n v="12.2"/>
    <n v="4.4000000000000004"/>
    <n v="0.53679999999999994"/>
    <n v="1"/>
    <s v=""/>
  </r>
  <r>
    <x v="1975"/>
    <x v="7"/>
    <n v="12.2"/>
    <n v="0"/>
    <n v="0"/>
    <n v="2"/>
    <s v=""/>
  </r>
  <r>
    <x v="1976"/>
    <x v="15"/>
    <n v="13.7"/>
    <n v="28"/>
    <n v="3.8359999999999999"/>
    <n v="3"/>
    <s v=""/>
  </r>
  <r>
    <x v="1977"/>
    <x v="13"/>
    <n v="27.9"/>
    <n v="0"/>
    <n v="0"/>
    <n v="4"/>
    <s v=""/>
  </r>
  <r>
    <x v="1978"/>
    <x v="9"/>
    <n v="25.6"/>
    <n v="1.7"/>
    <n v="0.43520000000000003"/>
    <n v="5"/>
    <s v=""/>
  </r>
  <r>
    <x v="1979"/>
    <x v="10"/>
    <n v="11.7"/>
    <n v="4.5999999999999996"/>
    <n v="0.5381999999999999"/>
    <n v="6"/>
    <s v=""/>
  </r>
  <r>
    <x v="1980"/>
    <x v="4"/>
    <n v="27.3"/>
    <n v="0"/>
    <n v="0"/>
    <n v="7"/>
    <n v="130.6"/>
  </r>
  <r>
    <x v="1981"/>
    <x v="7"/>
    <n v="25.6"/>
    <n v="18.2"/>
    <n v="4.6592000000000002"/>
    <n v="1"/>
    <s v=""/>
  </r>
  <r>
    <x v="1982"/>
    <x v="24"/>
    <n v="23.6"/>
    <n v="0.1"/>
    <n v="2.3600000000000003E-2"/>
    <n v="2"/>
    <s v=""/>
  </r>
  <r>
    <x v="1983"/>
    <x v="6"/>
    <n v="14.6"/>
    <n v="0"/>
    <n v="0"/>
    <n v="3"/>
    <s v=""/>
  </r>
  <r>
    <x v="1984"/>
    <x v="5"/>
    <n v="17.399999999999999"/>
    <n v="7.8"/>
    <n v="1.3572"/>
    <n v="4"/>
    <s v=""/>
  </r>
  <r>
    <x v="1985"/>
    <x v="6"/>
    <n v="27.4"/>
    <n v="0"/>
    <n v="0"/>
    <n v="5"/>
    <s v=""/>
  </r>
  <r>
    <x v="1986"/>
    <x v="15"/>
    <n v="15.2"/>
    <n v="5.9"/>
    <n v="0.89680000000000004"/>
    <n v="6"/>
    <s v=""/>
  </r>
  <r>
    <x v="1987"/>
    <x v="25"/>
    <n v="11.6"/>
    <n v="0"/>
    <n v="0"/>
    <n v="7"/>
    <n v="135.4"/>
  </r>
  <r>
    <x v="1988"/>
    <x v="22"/>
    <n v="10.8"/>
    <n v="1.6"/>
    <n v="0.17280000000000001"/>
    <n v="1"/>
    <s v=""/>
  </r>
  <r>
    <x v="1989"/>
    <x v="18"/>
    <n v="12"/>
    <n v="3.9"/>
    <n v="0.46799999999999997"/>
    <n v="2"/>
    <s v=""/>
  </r>
  <r>
    <x v="1990"/>
    <x v="22"/>
    <n v="14"/>
    <n v="5"/>
    <n v="0.7"/>
    <n v="3"/>
    <s v=""/>
  </r>
  <r>
    <x v="1991"/>
    <x v="15"/>
    <n v="26.4"/>
    <n v="0"/>
    <n v="0"/>
    <n v="4"/>
    <s v=""/>
  </r>
  <r>
    <x v="1992"/>
    <x v="11"/>
    <n v="23"/>
    <n v="20.100000000000001"/>
    <n v="4.6230000000000002"/>
    <n v="5"/>
    <s v=""/>
  </r>
  <r>
    <x v="1993"/>
    <x v="4"/>
    <n v="20.5"/>
    <n v="1.1000000000000001"/>
    <n v="0.22550000000000001"/>
    <n v="6"/>
    <s v=""/>
  </r>
  <r>
    <x v="1994"/>
    <x v="10"/>
    <n v="15.9"/>
    <n v="3.1"/>
    <n v="0.4929"/>
    <n v="7"/>
    <n v="122.6"/>
  </r>
  <r>
    <x v="1995"/>
    <x v="6"/>
    <n v="20.8"/>
    <n v="6.9"/>
    <n v="1.4352"/>
    <n v="1"/>
    <s v=""/>
  </r>
  <r>
    <x v="1996"/>
    <x v="17"/>
    <n v="12.9"/>
    <n v="1.5"/>
    <n v="0.19350000000000001"/>
    <n v="2"/>
    <s v=""/>
  </r>
  <r>
    <x v="1997"/>
    <x v="15"/>
    <n v="11.6"/>
    <n v="15.8"/>
    <n v="1.8328"/>
    <n v="3"/>
    <s v=""/>
  </r>
  <r>
    <x v="1998"/>
    <x v="9"/>
    <n v="25.6"/>
    <n v="0"/>
    <n v="0"/>
    <n v="4"/>
    <s v=""/>
  </r>
  <r>
    <x v="1999"/>
    <x v="3"/>
    <n v="15.7"/>
    <n v="6.7"/>
    <n v="1.0519000000000001"/>
    <n v="5"/>
    <s v=""/>
  </r>
  <r>
    <x v="2000"/>
    <x v="10"/>
    <n v="25.5"/>
    <n v="0"/>
    <n v="0"/>
    <n v="6"/>
    <s v=""/>
  </r>
  <r>
    <x v="2001"/>
    <x v="18"/>
    <n v="19.5"/>
    <n v="3.4"/>
    <n v="0.66299999999999992"/>
    <n v="7"/>
    <n v="131.60000000000002"/>
  </r>
  <r>
    <x v="2002"/>
    <x v="21"/>
    <n v="14.1"/>
    <n v="0"/>
    <n v="0"/>
    <n v="1"/>
    <s v=""/>
  </r>
  <r>
    <x v="2003"/>
    <x v="2"/>
    <n v="26.4"/>
    <n v="0"/>
    <n v="0"/>
    <n v="2"/>
    <s v=""/>
  </r>
  <r>
    <x v="2004"/>
    <x v="11"/>
    <n v="11.7"/>
    <n v="8.4"/>
    <n v="0.98280000000000001"/>
    <n v="3"/>
    <s v=""/>
  </r>
  <r>
    <x v="2005"/>
    <x v="21"/>
    <n v="28"/>
    <n v="0"/>
    <n v="0"/>
    <n v="4"/>
    <s v=""/>
  </r>
  <r>
    <x v="2006"/>
    <x v="13"/>
    <n v="13"/>
    <n v="0.1"/>
    <n v="1.3000000000000001E-2"/>
    <n v="5"/>
    <s v=""/>
  </r>
  <r>
    <x v="2007"/>
    <x v="7"/>
    <n v="10.8"/>
    <n v="11.3"/>
    <n v="1.2204000000000002"/>
    <n v="6"/>
    <s v=""/>
  </r>
  <r>
    <x v="2008"/>
    <x v="7"/>
    <n v="26.4"/>
    <n v="18.7"/>
    <n v="4.9367999999999999"/>
    <n v="7"/>
    <n v="130.4"/>
  </r>
  <r>
    <x v="2009"/>
    <x v="15"/>
    <n v="26.7"/>
    <n v="3.9"/>
    <n v="1.0412999999999999"/>
    <n v="1"/>
    <s v=""/>
  </r>
  <r>
    <x v="2010"/>
    <x v="7"/>
    <n v="11.7"/>
    <n v="13"/>
    <n v="1.5209999999999999"/>
    <n v="2"/>
    <s v=""/>
  </r>
  <r>
    <x v="2011"/>
    <x v="26"/>
    <n v="12"/>
    <n v="0.4"/>
    <n v="4.8000000000000008E-2"/>
    <n v="3"/>
    <s v=""/>
  </r>
  <r>
    <x v="2012"/>
    <x v="17"/>
    <n v="24.2"/>
    <n v="0.7"/>
    <n v="0.16939999999999997"/>
    <n v="4"/>
    <s v=""/>
  </r>
  <r>
    <x v="2013"/>
    <x v="22"/>
    <n v="27.3"/>
    <n v="3.7"/>
    <n v="1.0101"/>
    <n v="5"/>
    <s v=""/>
  </r>
  <r>
    <x v="2014"/>
    <x v="9"/>
    <n v="10.7"/>
    <n v="0"/>
    <n v="0"/>
    <n v="6"/>
    <s v=""/>
  </r>
  <r>
    <x v="2015"/>
    <x v="4"/>
    <n v="11.1"/>
    <n v="0"/>
    <n v="0"/>
    <n v="7"/>
    <n v="123.69999999999999"/>
  </r>
  <r>
    <x v="2016"/>
    <x v="3"/>
    <n v="28.5"/>
    <n v="19.8"/>
    <n v="5.6430000000000007"/>
    <n v="1"/>
    <s v=""/>
  </r>
  <r>
    <x v="2017"/>
    <x v="15"/>
    <n v="10.1"/>
    <n v="0"/>
    <n v="0"/>
    <n v="2"/>
    <s v=""/>
  </r>
  <r>
    <x v="2018"/>
    <x v="5"/>
    <n v="20.8"/>
    <n v="11.2"/>
    <n v="2.3295999999999997"/>
    <n v="3"/>
    <s v=""/>
  </r>
  <r>
    <x v="2019"/>
    <x v="3"/>
    <n v="16.600000000000001"/>
    <n v="0"/>
    <n v="0"/>
    <n v="4"/>
    <s v=""/>
  </r>
  <r>
    <x v="2020"/>
    <x v="9"/>
    <n v="26.4"/>
    <n v="10"/>
    <n v="2.64"/>
    <n v="5"/>
    <s v=""/>
  </r>
  <r>
    <x v="2021"/>
    <x v="18"/>
    <n v="15.1"/>
    <n v="0"/>
    <n v="0"/>
    <n v="6"/>
    <s v=""/>
  </r>
  <r>
    <x v="2022"/>
    <x v="2"/>
    <n v="20.9"/>
    <n v="10.1"/>
    <n v="2.1108999999999996"/>
    <n v="7"/>
    <n v="138.4"/>
  </r>
  <r>
    <x v="2023"/>
    <x v="9"/>
    <n v="27.3"/>
    <n v="5.3"/>
    <n v="1.4469000000000001"/>
    <n v="1"/>
    <s v=""/>
  </r>
  <r>
    <x v="2024"/>
    <x v="2"/>
    <n v="17.600000000000001"/>
    <n v="5.5"/>
    <n v="0.96800000000000008"/>
    <n v="2"/>
    <s v=""/>
  </r>
  <r>
    <x v="2025"/>
    <x v="15"/>
    <n v="27.8"/>
    <n v="0"/>
    <n v="0"/>
    <n v="3"/>
    <s v=""/>
  </r>
  <r>
    <x v="2026"/>
    <x v="6"/>
    <n v="25.8"/>
    <n v="12.1"/>
    <n v="3.1217999999999999"/>
    <n v="4"/>
    <s v=""/>
  </r>
  <r>
    <x v="2027"/>
    <x v="22"/>
    <n v="18.100000000000001"/>
    <n v="1.1000000000000001"/>
    <n v="0.19910000000000003"/>
    <n v="5"/>
    <s v=""/>
  </r>
  <r>
    <x v="2028"/>
    <x v="8"/>
    <n v="21.9"/>
    <n v="7.7"/>
    <n v="1.6862999999999999"/>
    <n v="6"/>
    <s v=""/>
  </r>
  <r>
    <x v="2029"/>
    <x v="23"/>
    <n v="23.2"/>
    <n v="5.0999999999999996"/>
    <n v="1.1832"/>
    <n v="7"/>
    <n v="161.69999999999999"/>
  </r>
  <r>
    <x v="2030"/>
    <x v="27"/>
    <n v="26.6"/>
    <n v="0.3"/>
    <n v="7.980000000000001E-2"/>
    <n v="1"/>
    <s v=""/>
  </r>
  <r>
    <x v="2031"/>
    <x v="7"/>
    <n v="23.2"/>
    <n v="0"/>
    <n v="0"/>
    <n v="2"/>
    <s v=""/>
  </r>
  <r>
    <x v="2032"/>
    <x v="6"/>
    <n v="11"/>
    <n v="40.9"/>
    <n v="4.4989999999999997"/>
    <n v="3"/>
    <s v=""/>
  </r>
  <r>
    <x v="2033"/>
    <x v="19"/>
    <n v="26.8"/>
    <n v="2.2999999999999998"/>
    <n v="0.61639999999999995"/>
    <n v="4"/>
    <s v=""/>
  </r>
  <r>
    <x v="2034"/>
    <x v="9"/>
    <n v="22.2"/>
    <n v="0"/>
    <n v="0"/>
    <n v="5"/>
    <s v=""/>
  </r>
  <r>
    <x v="2035"/>
    <x v="14"/>
    <n v="10.199999999999999"/>
    <n v="6.1"/>
    <n v="0.62219999999999986"/>
    <n v="6"/>
    <s v=""/>
  </r>
  <r>
    <x v="2036"/>
    <x v="29"/>
    <n v="18.399999999999999"/>
    <n v="1.5"/>
    <n v="0.27599999999999997"/>
    <n v="7"/>
    <n v="138.4"/>
  </r>
  <r>
    <x v="2037"/>
    <x v="3"/>
    <n v="29.4"/>
    <n v="22.3"/>
    <n v="6.5562000000000005"/>
    <n v="1"/>
    <s v=""/>
  </r>
  <r>
    <x v="2038"/>
    <x v="19"/>
    <n v="23.4"/>
    <n v="0"/>
    <n v="0"/>
    <n v="2"/>
    <s v=""/>
  </r>
  <r>
    <x v="2039"/>
    <x v="1"/>
    <n v="13.6"/>
    <n v="6.1"/>
    <n v="0.82959999999999989"/>
    <n v="3"/>
    <s v=""/>
  </r>
  <r>
    <x v="2040"/>
    <x v="3"/>
    <n v="17.7"/>
    <n v="1.4"/>
    <n v="0.24779999999999996"/>
    <n v="4"/>
    <s v=""/>
  </r>
  <r>
    <x v="2041"/>
    <x v="19"/>
    <n v="17"/>
    <n v="5.9"/>
    <n v="1.0030000000000001"/>
    <n v="5"/>
    <s v=""/>
  </r>
  <r>
    <x v="2042"/>
    <x v="2"/>
    <n v="29.6"/>
    <n v="6.6"/>
    <n v="1.9535999999999998"/>
    <n v="6"/>
    <s v=""/>
  </r>
  <r>
    <x v="2043"/>
    <x v="6"/>
    <n v="23.4"/>
    <n v="0"/>
    <n v="0"/>
    <n v="7"/>
    <n v="154.1"/>
  </r>
  <r>
    <x v="2044"/>
    <x v="3"/>
    <n v="21.3"/>
    <n v="22.4"/>
    <n v="4.7712000000000003"/>
    <n v="1"/>
    <s v=""/>
  </r>
  <r>
    <x v="2045"/>
    <x v="15"/>
    <n v="18.600000000000001"/>
    <n v="0"/>
    <n v="0"/>
    <n v="2"/>
    <s v=""/>
  </r>
  <r>
    <x v="2046"/>
    <x v="9"/>
    <n v="16.8"/>
    <n v="2.8"/>
    <n v="0.47039999999999998"/>
    <n v="3"/>
    <s v=""/>
  </r>
  <r>
    <x v="2047"/>
    <x v="16"/>
    <n v="13.2"/>
    <n v="4"/>
    <n v="0.52800000000000002"/>
    <n v="4"/>
    <s v=""/>
  </r>
  <r>
    <x v="2048"/>
    <x v="15"/>
    <n v="29.8"/>
    <n v="24.9"/>
    <n v="7.4201999999999995"/>
    <n v="5"/>
    <s v=""/>
  </r>
  <r>
    <x v="2049"/>
    <x v="6"/>
    <n v="10.6"/>
    <n v="31.8"/>
    <n v="3.3708"/>
    <n v="6"/>
    <s v=""/>
  </r>
  <r>
    <x v="2050"/>
    <x v="11"/>
    <n v="11.9"/>
    <n v="12.3"/>
    <n v="1.4637"/>
    <n v="7"/>
    <n v="122.2"/>
  </r>
  <r>
    <x v="2051"/>
    <x v="26"/>
    <n v="26.8"/>
    <n v="0.5"/>
    <n v="0.13400000000000001"/>
    <n v="1"/>
    <s v=""/>
  </r>
  <r>
    <x v="2052"/>
    <x v="18"/>
    <n v="29"/>
    <n v="3.5"/>
    <n v="1.0149999999999999"/>
    <n v="2"/>
    <s v=""/>
  </r>
  <r>
    <x v="2053"/>
    <x v="16"/>
    <n v="22.9"/>
    <n v="2"/>
    <n v="0.45799999999999996"/>
    <n v="3"/>
    <s v=""/>
  </r>
  <r>
    <x v="2054"/>
    <x v="17"/>
    <n v="27.1"/>
    <n v="0"/>
    <n v="0"/>
    <n v="4"/>
    <s v=""/>
  </r>
  <r>
    <x v="2055"/>
    <x v="6"/>
    <n v="11.8"/>
    <n v="49"/>
    <n v="5.782"/>
    <n v="5"/>
    <s v=""/>
  </r>
  <r>
    <x v="2056"/>
    <x v="2"/>
    <n v="26.6"/>
    <n v="0"/>
    <n v="0"/>
    <n v="6"/>
    <s v=""/>
  </r>
  <r>
    <x v="2057"/>
    <x v="14"/>
    <n v="21.3"/>
    <n v="0"/>
    <n v="0"/>
    <n v="7"/>
    <n v="165.5"/>
  </r>
  <r>
    <x v="2058"/>
    <x v="7"/>
    <n v="23.2"/>
    <n v="0"/>
    <n v="0"/>
    <n v="1"/>
    <s v=""/>
  </r>
  <r>
    <x v="2059"/>
    <x v="6"/>
    <n v="27.3"/>
    <n v="0"/>
    <n v="0"/>
    <n v="2"/>
    <s v=""/>
  </r>
  <r>
    <x v="2060"/>
    <x v="9"/>
    <n v="21.3"/>
    <n v="2.6"/>
    <n v="0.55380000000000007"/>
    <n v="3"/>
    <s v=""/>
  </r>
  <r>
    <x v="2061"/>
    <x v="15"/>
    <n v="22.9"/>
    <n v="5.3"/>
    <n v="1.2137"/>
    <n v="4"/>
    <s v=""/>
  </r>
  <r>
    <x v="2062"/>
    <x v="24"/>
    <n v="25"/>
    <n v="0"/>
    <n v="0"/>
    <n v="5"/>
    <s v=""/>
  </r>
  <r>
    <x v="2063"/>
    <x v="20"/>
    <n v="15.9"/>
    <n v="2.5"/>
    <n v="0.39750000000000002"/>
    <n v="6"/>
    <s v=""/>
  </r>
  <r>
    <x v="2064"/>
    <x v="18"/>
    <n v="19.2"/>
    <n v="1.3"/>
    <n v="0.24960000000000002"/>
    <n v="7"/>
    <n v="154.79999999999998"/>
  </r>
  <r>
    <x v="2065"/>
    <x v="3"/>
    <n v="22.5"/>
    <n v="10.9"/>
    <n v="2.4525000000000001"/>
    <n v="1"/>
    <s v=""/>
  </r>
  <r>
    <x v="2066"/>
    <x v="9"/>
    <n v="28.7"/>
    <n v="13.3"/>
    <n v="3.8171000000000004"/>
    <n v="2"/>
    <s v=""/>
  </r>
  <r>
    <x v="2067"/>
    <x v="15"/>
    <n v="14.6"/>
    <n v="29.3"/>
    <n v="4.2778"/>
    <n v="3"/>
    <s v=""/>
  </r>
  <r>
    <x v="2068"/>
    <x v="14"/>
    <n v="12.1"/>
    <n v="6.5"/>
    <n v="0.78649999999999987"/>
    <n v="4"/>
    <s v=""/>
  </r>
  <r>
    <x v="2069"/>
    <x v="15"/>
    <n v="20"/>
    <n v="26.1"/>
    <n v="5.22"/>
    <n v="5"/>
    <s v=""/>
  </r>
  <r>
    <x v="2070"/>
    <x v="23"/>
    <n v="20.8"/>
    <n v="2.5"/>
    <n v="0.52"/>
    <n v="6"/>
    <s v=""/>
  </r>
  <r>
    <x v="2071"/>
    <x v="3"/>
    <n v="26.6"/>
    <n v="5.9"/>
    <n v="1.5694000000000004"/>
    <n v="7"/>
    <n v="145.2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51A9C-12FF-492D-9E0C-EF5786E6D790}" name="Tabela przestawna2" cacheId="363" applyNumberFormats="0" applyBorderFormats="0" applyFontFormats="0" applyPatternFormats="0" applyAlignmentFormats="0" applyWidthHeightFormats="1" dataCaption="Wartości" updatedVersion="7" minRefreshableVersion="3" useAutoFormatting="1" itemPrintTitles="1" createdVersion="7" indent="0" outline="1" outlineData="1" multipleFieldFilters="0">
  <location ref="A3:B34" firstHeaderRow="1" firstDataRow="1" firstDataCol="1"/>
  <pivotFields count="5">
    <pivotField numFmtId="14" showAll="0"/>
    <pivotField axis="axisRow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dataField="1" showAll="0"/>
    <pivotField showAll="0"/>
    <pivotField numFmtId="2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Średnia z masa [kg]" fld="2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11C94-975B-4C4F-AEC8-8AF00F2197D1}" name="Tabela przestawna4" cacheId="364" applyNumberFormats="0" applyBorderFormats="0" applyFontFormats="0" applyPatternFormats="0" applyAlignmentFormats="0" applyWidthHeightFormats="1" dataCaption="Wartości" updatedVersion="7" minRefreshableVersion="3" useAutoFormatting="1" rowGrandTotals="0" colGrandTotals="0" itemPrintTitles="1" createdVersion="7" indent="0" outline="1" outlineData="1" multipleFieldFilters="0" chartFormat="4">
  <location ref="A3:G34" firstHeaderRow="1" firstDataRow="2" firstDataCol="1"/>
  <pivotFields count="9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dataField="1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showAll="0"/>
    <pivotField showAll="0"/>
    <pivotField numFmtId="2" showAll="0"/>
    <pivotField showAll="0"/>
    <pivotField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</rowItems>
  <colFields count="1">
    <field x="8"/>
  </colFields>
  <colItems count="6">
    <i>
      <x v="1"/>
    </i>
    <i>
      <x v="2"/>
    </i>
    <i>
      <x v="3"/>
    </i>
    <i>
      <x v="4"/>
    </i>
    <i>
      <x v="5"/>
    </i>
    <i>
      <x v="6"/>
    </i>
  </colItems>
  <dataFields count="1">
    <dataField name="Liczba z nazwa_obszaru" fld="1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DC0E6095-0BDD-4A08-BEB1-B197E2391CD9}" autoFormatId="16" applyNumberFormats="0" applyBorderFormats="0" applyFontFormats="0" applyPatternFormats="0" applyAlignmentFormats="0" applyWidthHeightFormats="0">
  <queryTableRefresh nextId="9" unboundColumnsRight="4">
    <queryTableFields count="8">
      <queryTableField id="1" name="data" tableColumnId="1"/>
      <queryTableField id="2" name="nazwa_obszaru" tableColumnId="2"/>
      <queryTableField id="3" name="masa [kg]" tableColumnId="3"/>
      <queryTableField id="4" name="zawartosc [%]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408BD-8009-491E-BE95-9DF30DA1449B}" name="Tabela2" displayName="Tabela2" ref="A1:E15" totalsRowShown="0">
  <autoFilter ref="A1:E15" xr:uid="{3D6408BD-8009-491E-BE95-9DF30DA1449B}"/>
  <tableColumns count="5">
    <tableColumn id="1" xr3:uid="{57B2F52A-D553-4744-8DE5-FBF84A0032CB}" name="data" dataDxfId="4"/>
    <tableColumn id="2" xr3:uid="{A1F2EF99-75AD-4621-96AC-FA2D9F85B643}" name="nazwa_obszaru"/>
    <tableColumn id="3" xr3:uid="{FA9CB95F-3277-4A39-B152-4D278C8228E4}" name="masa [kg]"/>
    <tableColumn id="4" xr3:uid="{E21F4AA6-E2EE-4759-9047-F5475FB9A8D0}" name="zawartosc [%]"/>
    <tableColumn id="5" xr3:uid="{1467AE96-8395-43CA-8295-6D3F4DD38603}" name="PRAWIDZWA_MAS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03826C-4429-4E1F-ADF2-3910F82DF2F6}" name="Tabela3" displayName="Tabela3" ref="A1:E44" totalsRowShown="0">
  <autoFilter ref="A1:E44" xr:uid="{8E03826C-4429-4E1F-ADF2-3910F82DF2F6}"/>
  <tableColumns count="5">
    <tableColumn id="1" xr3:uid="{BD1B973D-27DE-4535-9E80-993E5B930767}" name="data" dataDxfId="3"/>
    <tableColumn id="2" xr3:uid="{7F8E3811-434A-4B52-8DC2-9983E92345D7}" name="nazwa_obszaru"/>
    <tableColumn id="3" xr3:uid="{43B5E3F4-5B51-44F0-B219-B7FD15A2539A}" name="masa [kg]"/>
    <tableColumn id="4" xr3:uid="{9F06FE61-1738-4ACC-B2CE-378B76E56240}" name="zawartosc [%]"/>
    <tableColumn id="5" xr3:uid="{875AEA2D-C824-48FE-9F6D-4B0FE665F851}" name="PRAWIDZWA_MAS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66DFDC-EB47-41D8-816F-C8EA9872F7EB}" name="martianeum" displayName="martianeum" ref="A1:H2073" tableType="queryTable" totalsRowShown="0">
  <autoFilter ref="A1:H2073" xr:uid="{0266DFDC-EB47-41D8-816F-C8EA9872F7EB}"/>
  <tableColumns count="8">
    <tableColumn id="1" xr3:uid="{F8E5B426-DBB1-426F-B74A-8F993C879220}" uniqueName="1" name="data" queryTableFieldId="1" dataDxfId="2"/>
    <tableColumn id="2" xr3:uid="{132BF4F7-7F32-419B-882B-2D19EC6DE679}" uniqueName="2" name="nazwa_obszaru" queryTableFieldId="2" dataDxfId="1"/>
    <tableColumn id="3" xr3:uid="{93142A38-C685-429B-9984-E6C3355D42C4}" uniqueName="3" name="masa [kg]" queryTableFieldId="3"/>
    <tableColumn id="4" xr3:uid="{9C1000FB-99BA-443A-B341-F2D3EE36EDA2}" uniqueName="4" name="zawartosc [%]" queryTableFieldId="4"/>
    <tableColumn id="5" xr3:uid="{3C475CFC-03D3-4D67-955E-2C07EFED1330}" uniqueName="5" name="PRAWIDZWA_MASA" queryTableFieldId="5" dataDxfId="0">
      <calculatedColumnFormula>C2*D2 / 100</calculatedColumnFormula>
    </tableColumn>
    <tableColumn id="6" xr3:uid="{0E0DBF30-2490-4A73-9F7A-359B3F50846E}" uniqueName="6" name="DZIEŃ OKRESU" queryTableFieldId="6"/>
    <tableColumn id="7" xr3:uid="{F4C16646-185C-4942-9657-914414281F25}" uniqueName="7" name="Kolumna1" queryTableFieldId="7">
      <calculatedColumnFormula>IF(F2=7, SUM(E2:E8), "")</calculatedColumnFormula>
    </tableColumn>
    <tableColumn id="8" xr3:uid="{09627E86-F871-497C-A05B-3F9502D79577}" uniqueName="8" name="Począ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057C-32DB-4EF6-B4D3-3414BA9073C9}">
  <dimension ref="A1:E15"/>
  <sheetViews>
    <sheetView workbookViewId="0">
      <selection sqref="A1:E15"/>
    </sheetView>
  </sheetViews>
  <sheetFormatPr defaultRowHeight="15"/>
  <cols>
    <col min="2" max="2" width="16.5703125" customWidth="1"/>
    <col min="3" max="3" width="11.5703125" customWidth="1"/>
    <col min="4" max="4" width="15.28515625" customWidth="1"/>
    <col min="5" max="5" width="21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50703</v>
      </c>
      <c r="B2" t="s">
        <v>5</v>
      </c>
      <c r="C2">
        <v>25</v>
      </c>
      <c r="D2">
        <v>0</v>
      </c>
      <c r="E2">
        <v>0</v>
      </c>
    </row>
    <row r="3" spans="1:5">
      <c r="A3" s="1">
        <v>50623</v>
      </c>
      <c r="B3" t="s">
        <v>5</v>
      </c>
      <c r="C3">
        <v>23.6</v>
      </c>
      <c r="D3">
        <v>0.1</v>
      </c>
      <c r="E3">
        <v>2.3600000000000003E-2</v>
      </c>
    </row>
    <row r="4" spans="1:5">
      <c r="A4" s="1">
        <v>50582</v>
      </c>
      <c r="B4" t="s">
        <v>5</v>
      </c>
      <c r="C4">
        <v>11.2</v>
      </c>
      <c r="D4">
        <v>0.3</v>
      </c>
      <c r="E4">
        <v>3.3599999999999998E-2</v>
      </c>
    </row>
    <row r="5" spans="1:5">
      <c r="A5" s="1">
        <v>50099</v>
      </c>
      <c r="B5" t="s">
        <v>5</v>
      </c>
      <c r="C5">
        <v>19.899999999999999</v>
      </c>
      <c r="D5">
        <v>0</v>
      </c>
      <c r="E5">
        <v>0</v>
      </c>
    </row>
    <row r="6" spans="1:5">
      <c r="A6" s="1">
        <v>50054</v>
      </c>
      <c r="B6" t="s">
        <v>5</v>
      </c>
      <c r="C6">
        <v>13.5</v>
      </c>
      <c r="D6">
        <v>0.7</v>
      </c>
      <c r="E6">
        <v>9.4499999999999987E-2</v>
      </c>
    </row>
    <row r="7" spans="1:5">
      <c r="A7" s="1">
        <v>50000</v>
      </c>
      <c r="B7" t="s">
        <v>5</v>
      </c>
      <c r="C7">
        <v>23.7</v>
      </c>
      <c r="D7">
        <v>0.3</v>
      </c>
      <c r="E7">
        <v>7.1099999999999997E-2</v>
      </c>
    </row>
    <row r="8" spans="1:5">
      <c r="A8" s="1">
        <v>49502</v>
      </c>
      <c r="B8" t="s">
        <v>5</v>
      </c>
      <c r="C8">
        <v>19.399999999999999</v>
      </c>
      <c r="D8">
        <v>0.7</v>
      </c>
      <c r="E8">
        <v>0.13579999999999998</v>
      </c>
    </row>
    <row r="9" spans="1:5">
      <c r="A9" s="1">
        <v>49451</v>
      </c>
      <c r="B9" t="s">
        <v>5</v>
      </c>
      <c r="C9">
        <v>11.3</v>
      </c>
      <c r="D9">
        <v>0.3</v>
      </c>
      <c r="E9">
        <v>3.39E-2</v>
      </c>
    </row>
    <row r="10" spans="1:5">
      <c r="A10" s="1">
        <v>49422</v>
      </c>
      <c r="B10" t="s">
        <v>5</v>
      </c>
      <c r="C10">
        <v>17.100000000000001</v>
      </c>
      <c r="D10">
        <v>0.5</v>
      </c>
      <c r="E10">
        <v>8.5500000000000007E-2</v>
      </c>
    </row>
    <row r="11" spans="1:5">
      <c r="A11" s="1">
        <v>49420</v>
      </c>
      <c r="B11" t="s">
        <v>5</v>
      </c>
      <c r="C11">
        <v>15.9</v>
      </c>
      <c r="D11">
        <v>0.5</v>
      </c>
      <c r="E11">
        <v>7.9500000000000001E-2</v>
      </c>
    </row>
    <row r="12" spans="1:5">
      <c r="A12" s="1">
        <v>49077</v>
      </c>
      <c r="B12" t="s">
        <v>5</v>
      </c>
      <c r="C12">
        <v>18.399999999999999</v>
      </c>
      <c r="D12">
        <v>0.2</v>
      </c>
      <c r="E12">
        <v>3.6799999999999999E-2</v>
      </c>
    </row>
    <row r="13" spans="1:5">
      <c r="A13" s="1">
        <v>49034</v>
      </c>
      <c r="B13" t="s">
        <v>5</v>
      </c>
      <c r="C13">
        <v>16.899999999999999</v>
      </c>
      <c r="D13">
        <v>0.7</v>
      </c>
      <c r="E13">
        <v>0.11829999999999999</v>
      </c>
    </row>
    <row r="14" spans="1:5">
      <c r="A14" s="1">
        <v>48840</v>
      </c>
      <c r="B14" t="s">
        <v>5</v>
      </c>
      <c r="C14">
        <v>10.7</v>
      </c>
      <c r="D14">
        <v>0.3</v>
      </c>
      <c r="E14">
        <v>3.2099999999999997E-2</v>
      </c>
    </row>
    <row r="15" spans="1:5">
      <c r="A15" s="1">
        <v>48723</v>
      </c>
      <c r="B15" t="s">
        <v>5</v>
      </c>
      <c r="C15">
        <v>23.1</v>
      </c>
      <c r="D15">
        <v>0.3</v>
      </c>
      <c r="E15">
        <v>6.93E-2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F4B0-A997-4059-A300-5D794C0DBE10}">
  <dimension ref="A1:E44"/>
  <sheetViews>
    <sheetView workbookViewId="0">
      <selection sqref="A1:E44"/>
    </sheetView>
  </sheetViews>
  <sheetFormatPr defaultRowHeight="15"/>
  <cols>
    <col min="2" max="2" width="16.5703125" customWidth="1"/>
    <col min="3" max="3" width="11.5703125" customWidth="1"/>
    <col min="4" max="4" width="15.28515625" customWidth="1"/>
    <col min="5" max="5" width="21.28515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50682</v>
      </c>
      <c r="B2" t="s">
        <v>6</v>
      </c>
      <c r="C2">
        <v>17</v>
      </c>
      <c r="D2">
        <v>5.9</v>
      </c>
      <c r="E2">
        <v>1.0030000000000001</v>
      </c>
    </row>
    <row r="3" spans="1:5">
      <c r="A3" s="1">
        <v>50679</v>
      </c>
      <c r="B3" t="s">
        <v>6</v>
      </c>
      <c r="C3">
        <v>23.4</v>
      </c>
      <c r="D3">
        <v>0</v>
      </c>
      <c r="E3">
        <v>0</v>
      </c>
    </row>
    <row r="4" spans="1:5">
      <c r="A4" s="1">
        <v>50674</v>
      </c>
      <c r="B4" t="s">
        <v>6</v>
      </c>
      <c r="C4">
        <v>26.8</v>
      </c>
      <c r="D4">
        <v>2.2999999999999998</v>
      </c>
      <c r="E4">
        <v>0.61639999999999995</v>
      </c>
    </row>
    <row r="5" spans="1:5">
      <c r="A5" s="1">
        <v>50550</v>
      </c>
      <c r="B5" t="s">
        <v>6</v>
      </c>
      <c r="C5">
        <v>20.7</v>
      </c>
      <c r="D5">
        <v>4.7</v>
      </c>
      <c r="E5">
        <v>0.9729000000000001</v>
      </c>
    </row>
    <row r="6" spans="1:5">
      <c r="A6" s="1">
        <v>50479</v>
      </c>
      <c r="B6" t="s">
        <v>6</v>
      </c>
      <c r="C6">
        <v>21.9</v>
      </c>
      <c r="D6">
        <v>5.6</v>
      </c>
      <c r="E6">
        <v>1.2263999999999999</v>
      </c>
    </row>
    <row r="7" spans="1:5">
      <c r="A7" s="1">
        <v>50402</v>
      </c>
      <c r="B7" t="s">
        <v>6</v>
      </c>
      <c r="C7">
        <v>20.6</v>
      </c>
      <c r="D7">
        <v>5.2</v>
      </c>
      <c r="E7">
        <v>1.0712000000000002</v>
      </c>
    </row>
    <row r="8" spans="1:5">
      <c r="A8" s="1">
        <v>50371</v>
      </c>
      <c r="B8" t="s">
        <v>6</v>
      </c>
      <c r="C8">
        <v>10.5</v>
      </c>
      <c r="D8">
        <v>0.1</v>
      </c>
      <c r="E8">
        <v>1.0500000000000001E-2</v>
      </c>
    </row>
    <row r="9" spans="1:5">
      <c r="A9" s="1">
        <v>50366</v>
      </c>
      <c r="B9" t="s">
        <v>6</v>
      </c>
      <c r="C9">
        <v>19.7</v>
      </c>
      <c r="D9">
        <v>0.2</v>
      </c>
      <c r="E9">
        <v>3.9399999999999998E-2</v>
      </c>
    </row>
    <row r="10" spans="1:5">
      <c r="A10" s="1">
        <v>50362</v>
      </c>
      <c r="B10" t="s">
        <v>6</v>
      </c>
      <c r="C10">
        <v>19.100000000000001</v>
      </c>
      <c r="D10">
        <v>0</v>
      </c>
      <c r="E10">
        <v>0</v>
      </c>
    </row>
    <row r="11" spans="1:5">
      <c r="A11" s="1">
        <v>50357</v>
      </c>
      <c r="B11" t="s">
        <v>6</v>
      </c>
      <c r="C11">
        <v>22.3</v>
      </c>
      <c r="D11">
        <v>0.1</v>
      </c>
      <c r="E11">
        <v>2.23E-2</v>
      </c>
    </row>
    <row r="12" spans="1:5">
      <c r="A12" s="1">
        <v>50315</v>
      </c>
      <c r="B12" t="s">
        <v>6</v>
      </c>
      <c r="C12">
        <v>23</v>
      </c>
      <c r="D12">
        <v>0</v>
      </c>
      <c r="E12">
        <v>0</v>
      </c>
    </row>
    <row r="13" spans="1:5">
      <c r="A13" s="1">
        <v>50302</v>
      </c>
      <c r="B13" t="s">
        <v>6</v>
      </c>
      <c r="C13">
        <v>25.3</v>
      </c>
      <c r="D13">
        <v>2.5</v>
      </c>
      <c r="E13">
        <v>0.63249999999999995</v>
      </c>
    </row>
    <row r="14" spans="1:5">
      <c r="A14" s="1">
        <v>50295</v>
      </c>
      <c r="B14" t="s">
        <v>6</v>
      </c>
      <c r="C14">
        <v>13.4</v>
      </c>
      <c r="D14">
        <v>2.6</v>
      </c>
      <c r="E14">
        <v>0.34840000000000004</v>
      </c>
    </row>
    <row r="15" spans="1:5">
      <c r="A15" s="1">
        <v>50217</v>
      </c>
      <c r="B15" t="s">
        <v>6</v>
      </c>
      <c r="C15">
        <v>15.1</v>
      </c>
      <c r="D15">
        <v>6</v>
      </c>
      <c r="E15">
        <v>0.90599999999999992</v>
      </c>
    </row>
    <row r="16" spans="1:5">
      <c r="A16" s="1">
        <v>50195</v>
      </c>
      <c r="B16" t="s">
        <v>6</v>
      </c>
      <c r="C16">
        <v>11.5</v>
      </c>
      <c r="D16">
        <v>0</v>
      </c>
      <c r="E16">
        <v>0</v>
      </c>
    </row>
    <row r="17" spans="1:5">
      <c r="A17" s="1">
        <v>50093</v>
      </c>
      <c r="B17" t="s">
        <v>6</v>
      </c>
      <c r="C17">
        <v>29</v>
      </c>
      <c r="D17">
        <v>3.2</v>
      </c>
      <c r="E17">
        <v>0.92800000000000016</v>
      </c>
    </row>
    <row r="18" spans="1:5">
      <c r="A18" s="1">
        <v>50071</v>
      </c>
      <c r="B18" t="s">
        <v>6</v>
      </c>
      <c r="C18">
        <v>12.5</v>
      </c>
      <c r="D18">
        <v>0</v>
      </c>
      <c r="E18">
        <v>0</v>
      </c>
    </row>
    <row r="19" spans="1:5">
      <c r="A19" s="1">
        <v>50053</v>
      </c>
      <c r="B19" t="s">
        <v>6</v>
      </c>
      <c r="C19">
        <v>20.7</v>
      </c>
      <c r="D19">
        <v>2.9</v>
      </c>
      <c r="E19">
        <v>0.60029999999999994</v>
      </c>
    </row>
    <row r="20" spans="1:5">
      <c r="A20" s="1">
        <v>49980</v>
      </c>
      <c r="B20" t="s">
        <v>6</v>
      </c>
      <c r="C20">
        <v>28.6</v>
      </c>
      <c r="D20">
        <v>0</v>
      </c>
      <c r="E20">
        <v>0</v>
      </c>
    </row>
    <row r="21" spans="1:5">
      <c r="A21" s="1">
        <v>49957</v>
      </c>
      <c r="B21" t="s">
        <v>6</v>
      </c>
      <c r="C21">
        <v>24.7</v>
      </c>
      <c r="D21">
        <v>2.5</v>
      </c>
      <c r="E21">
        <v>0.61750000000000005</v>
      </c>
    </row>
    <row r="22" spans="1:5">
      <c r="A22" s="1">
        <v>49661</v>
      </c>
      <c r="B22" t="s">
        <v>6</v>
      </c>
      <c r="C22">
        <v>16.5</v>
      </c>
      <c r="D22">
        <v>4.2</v>
      </c>
      <c r="E22">
        <v>0.69299999999999995</v>
      </c>
    </row>
    <row r="23" spans="1:5">
      <c r="A23" s="1">
        <v>49578</v>
      </c>
      <c r="B23" t="s">
        <v>6</v>
      </c>
      <c r="C23">
        <v>20.2</v>
      </c>
      <c r="D23">
        <v>0.3</v>
      </c>
      <c r="E23">
        <v>6.0599999999999994E-2</v>
      </c>
    </row>
    <row r="24" spans="1:5">
      <c r="A24" s="1">
        <v>49566</v>
      </c>
      <c r="B24" t="s">
        <v>6</v>
      </c>
      <c r="C24">
        <v>27.6</v>
      </c>
      <c r="D24">
        <v>4.7</v>
      </c>
      <c r="E24">
        <v>1.2971999999999999</v>
      </c>
    </row>
    <row r="25" spans="1:5">
      <c r="A25" s="1">
        <v>49540</v>
      </c>
      <c r="B25" t="s">
        <v>6</v>
      </c>
      <c r="C25">
        <v>28.6</v>
      </c>
      <c r="D25">
        <v>0.2</v>
      </c>
      <c r="E25">
        <v>5.7200000000000008E-2</v>
      </c>
    </row>
    <row r="26" spans="1:5">
      <c r="A26" s="1">
        <v>49526</v>
      </c>
      <c r="B26" t="s">
        <v>6</v>
      </c>
      <c r="C26">
        <v>16.8</v>
      </c>
      <c r="D26">
        <v>4.9000000000000004</v>
      </c>
      <c r="E26">
        <v>0.82320000000000004</v>
      </c>
    </row>
    <row r="27" spans="1:5">
      <c r="A27" s="1">
        <v>49476</v>
      </c>
      <c r="B27" t="s">
        <v>6</v>
      </c>
      <c r="C27">
        <v>29</v>
      </c>
      <c r="D27">
        <v>4.2</v>
      </c>
      <c r="E27">
        <v>1.2180000000000002</v>
      </c>
    </row>
    <row r="28" spans="1:5">
      <c r="A28" s="1">
        <v>49435</v>
      </c>
      <c r="B28" t="s">
        <v>6</v>
      </c>
      <c r="C28">
        <v>23.9</v>
      </c>
      <c r="D28">
        <v>0</v>
      </c>
      <c r="E28">
        <v>0</v>
      </c>
    </row>
    <row r="29" spans="1:5">
      <c r="A29" s="1">
        <v>49381</v>
      </c>
      <c r="B29" t="s">
        <v>6</v>
      </c>
      <c r="C29">
        <v>18.8</v>
      </c>
      <c r="D29">
        <v>0</v>
      </c>
      <c r="E29">
        <v>0</v>
      </c>
    </row>
    <row r="30" spans="1:5">
      <c r="A30" s="1">
        <v>49348</v>
      </c>
      <c r="B30" t="s">
        <v>6</v>
      </c>
      <c r="C30">
        <v>13.8</v>
      </c>
      <c r="D30">
        <v>1.1000000000000001</v>
      </c>
      <c r="E30">
        <v>0.15180000000000002</v>
      </c>
    </row>
    <row r="31" spans="1:5">
      <c r="A31" s="1">
        <v>49340</v>
      </c>
      <c r="B31" t="s">
        <v>6</v>
      </c>
      <c r="C31">
        <v>28.4</v>
      </c>
      <c r="D31">
        <v>2.6</v>
      </c>
      <c r="E31">
        <v>0.73840000000000006</v>
      </c>
    </row>
    <row r="32" spans="1:5">
      <c r="A32" s="1">
        <v>49336</v>
      </c>
      <c r="B32" t="s">
        <v>6</v>
      </c>
      <c r="C32">
        <v>16.100000000000001</v>
      </c>
      <c r="D32">
        <v>3.4</v>
      </c>
      <c r="E32">
        <v>0.5474</v>
      </c>
    </row>
    <row r="33" spans="1:5">
      <c r="A33" s="1">
        <v>49274</v>
      </c>
      <c r="B33" t="s">
        <v>6</v>
      </c>
      <c r="C33">
        <v>25.3</v>
      </c>
      <c r="D33">
        <v>1.8</v>
      </c>
      <c r="E33">
        <v>0.45539999999999997</v>
      </c>
    </row>
    <row r="34" spans="1:5">
      <c r="A34" s="1">
        <v>49213</v>
      </c>
      <c r="B34" t="s">
        <v>6</v>
      </c>
      <c r="C34">
        <v>24.2</v>
      </c>
      <c r="D34">
        <v>0</v>
      </c>
      <c r="E34">
        <v>0</v>
      </c>
    </row>
    <row r="35" spans="1:5">
      <c r="A35" s="1">
        <v>49172</v>
      </c>
      <c r="B35" t="s">
        <v>6</v>
      </c>
      <c r="C35">
        <v>17.100000000000001</v>
      </c>
      <c r="D35">
        <v>3.6</v>
      </c>
      <c r="E35">
        <v>0.61560000000000015</v>
      </c>
    </row>
    <row r="36" spans="1:5">
      <c r="A36" s="1">
        <v>49103</v>
      </c>
      <c r="B36" t="s">
        <v>6</v>
      </c>
      <c r="C36">
        <v>28.4</v>
      </c>
      <c r="D36">
        <v>4</v>
      </c>
      <c r="E36">
        <v>1.1359999999999999</v>
      </c>
    </row>
    <row r="37" spans="1:5">
      <c r="A37" s="1">
        <v>49050</v>
      </c>
      <c r="B37" t="s">
        <v>6</v>
      </c>
      <c r="C37">
        <v>19.3</v>
      </c>
      <c r="D37">
        <v>0.8</v>
      </c>
      <c r="E37">
        <v>0.15440000000000001</v>
      </c>
    </row>
    <row r="38" spans="1:5">
      <c r="A38" s="1">
        <v>49029</v>
      </c>
      <c r="B38" t="s">
        <v>6</v>
      </c>
      <c r="C38">
        <v>17.2</v>
      </c>
      <c r="D38">
        <v>0</v>
      </c>
      <c r="E38">
        <v>0</v>
      </c>
    </row>
    <row r="39" spans="1:5">
      <c r="A39" s="1">
        <v>48970</v>
      </c>
      <c r="B39" t="s">
        <v>6</v>
      </c>
      <c r="C39">
        <v>23.9</v>
      </c>
      <c r="D39">
        <v>3.3</v>
      </c>
      <c r="E39">
        <v>0.78869999999999996</v>
      </c>
    </row>
    <row r="40" spans="1:5">
      <c r="A40" s="1">
        <v>48935</v>
      </c>
      <c r="B40" t="s">
        <v>6</v>
      </c>
      <c r="C40">
        <v>22.8</v>
      </c>
      <c r="D40">
        <v>3.3</v>
      </c>
      <c r="E40">
        <v>0.75239999999999996</v>
      </c>
    </row>
    <row r="41" spans="1:5">
      <c r="A41" s="1">
        <v>48884</v>
      </c>
      <c r="B41" t="s">
        <v>6</v>
      </c>
      <c r="C41">
        <v>12</v>
      </c>
      <c r="D41">
        <v>3.9</v>
      </c>
      <c r="E41">
        <v>0.46799999999999997</v>
      </c>
    </row>
    <row r="42" spans="1:5">
      <c r="A42" s="1">
        <v>48772</v>
      </c>
      <c r="B42" t="s">
        <v>6</v>
      </c>
      <c r="C42">
        <v>14.7</v>
      </c>
      <c r="D42">
        <v>2.2999999999999998</v>
      </c>
      <c r="E42">
        <v>0.33809999999999996</v>
      </c>
    </row>
    <row r="43" spans="1:5">
      <c r="A43" s="1">
        <v>48758</v>
      </c>
      <c r="B43" t="s">
        <v>6</v>
      </c>
      <c r="C43">
        <v>22.3</v>
      </c>
      <c r="D43">
        <v>0</v>
      </c>
      <c r="E43">
        <v>0</v>
      </c>
    </row>
    <row r="44" spans="1:5">
      <c r="A44" s="1">
        <v>48689</v>
      </c>
      <c r="B44" t="s">
        <v>6</v>
      </c>
      <c r="C44">
        <v>27</v>
      </c>
      <c r="D44">
        <v>0</v>
      </c>
      <c r="E4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E434-58FE-4008-8342-64147928238D}">
  <dimension ref="A3:E34"/>
  <sheetViews>
    <sheetView workbookViewId="0">
      <selection activeCell="D4" sqref="D4"/>
    </sheetView>
  </sheetViews>
  <sheetFormatPr defaultRowHeight="15"/>
  <cols>
    <col min="1" max="1" width="17.7109375" bestFit="1" customWidth="1"/>
    <col min="2" max="2" width="18.140625" bestFit="1" customWidth="1"/>
  </cols>
  <sheetData>
    <row r="3" spans="1:5">
      <c r="A3" s="3" t="s">
        <v>7</v>
      </c>
      <c r="B3" t="s">
        <v>8</v>
      </c>
    </row>
    <row r="4" spans="1:5">
      <c r="A4" s="4" t="s">
        <v>6</v>
      </c>
      <c r="B4">
        <v>20.923255813953489</v>
      </c>
      <c r="D4">
        <f>MIN(B4:B33)</f>
        <v>17.835714285714282</v>
      </c>
      <c r="E4" s="4" t="s">
        <v>5</v>
      </c>
    </row>
    <row r="5" spans="1:5">
      <c r="A5" s="4" t="s">
        <v>9</v>
      </c>
      <c r="B5">
        <v>19.651449275362314</v>
      </c>
    </row>
    <row r="6" spans="1:5">
      <c r="A6" s="4" t="s">
        <v>10</v>
      </c>
      <c r="B6">
        <v>18.398214285714282</v>
      </c>
    </row>
    <row r="7" spans="1:5">
      <c r="A7" s="4" t="s">
        <v>11</v>
      </c>
      <c r="B7">
        <v>19.547457627118646</v>
      </c>
    </row>
    <row r="8" spans="1:5">
      <c r="A8" s="4" t="s">
        <v>12</v>
      </c>
      <c r="B8">
        <v>19.152830188679246</v>
      </c>
    </row>
    <row r="9" spans="1:5">
      <c r="A9" s="4" t="s">
        <v>13</v>
      </c>
      <c r="B9">
        <v>18.451612903225808</v>
      </c>
    </row>
    <row r="10" spans="1:5">
      <c r="A10" s="4" t="s">
        <v>14</v>
      </c>
      <c r="B10">
        <v>19.838000000000001</v>
      </c>
    </row>
    <row r="11" spans="1:5">
      <c r="A11" s="4" t="s">
        <v>15</v>
      </c>
      <c r="B11">
        <v>18.830769230769231</v>
      </c>
    </row>
    <row r="12" spans="1:5">
      <c r="A12" s="4" t="s">
        <v>16</v>
      </c>
      <c r="B12">
        <v>21.702631578947376</v>
      </c>
    </row>
    <row r="13" spans="1:5">
      <c r="A13" s="4" t="s">
        <v>17</v>
      </c>
      <c r="B13">
        <v>19.720000000000002</v>
      </c>
    </row>
    <row r="14" spans="1:5">
      <c r="A14" s="4" t="s">
        <v>18</v>
      </c>
      <c r="B14">
        <v>18.58717948717949</v>
      </c>
    </row>
    <row r="15" spans="1:5">
      <c r="A15" s="4" t="s">
        <v>19</v>
      </c>
      <c r="B15">
        <v>19.525000000000002</v>
      </c>
    </row>
    <row r="16" spans="1:5">
      <c r="A16" s="4" t="s">
        <v>20</v>
      </c>
      <c r="B16">
        <v>19.113333333333333</v>
      </c>
    </row>
    <row r="17" spans="1:2">
      <c r="A17" s="4" t="s">
        <v>21</v>
      </c>
      <c r="B17">
        <v>19.362251655629144</v>
      </c>
    </row>
    <row r="18" spans="1:2">
      <c r="A18" s="4" t="s">
        <v>22</v>
      </c>
      <c r="B18">
        <v>19.332499999999996</v>
      </c>
    </row>
    <row r="19" spans="1:2">
      <c r="A19" s="4" t="s">
        <v>23</v>
      </c>
      <c r="B19">
        <v>21.551851851851861</v>
      </c>
    </row>
    <row r="20" spans="1:2">
      <c r="A20" s="4" t="s">
        <v>24</v>
      </c>
      <c r="B20">
        <v>19.109375</v>
      </c>
    </row>
    <row r="21" spans="1:2">
      <c r="A21" s="4" t="s">
        <v>25</v>
      </c>
      <c r="B21">
        <v>23.428571428571427</v>
      </c>
    </row>
    <row r="22" spans="1:2">
      <c r="A22" s="4" t="s">
        <v>26</v>
      </c>
      <c r="B22">
        <v>20.128750000000004</v>
      </c>
    </row>
    <row r="23" spans="1:2">
      <c r="A23" s="4" t="s">
        <v>27</v>
      </c>
      <c r="B23">
        <v>22.371428571428567</v>
      </c>
    </row>
    <row r="24" spans="1:2">
      <c r="A24" s="4" t="s">
        <v>28</v>
      </c>
      <c r="B24">
        <v>21.487999999999996</v>
      </c>
    </row>
    <row r="25" spans="1:2">
      <c r="A25" s="4" t="s">
        <v>29</v>
      </c>
      <c r="B25">
        <v>19.852884615384614</v>
      </c>
    </row>
    <row r="26" spans="1:2">
      <c r="A26" s="4" t="s">
        <v>30</v>
      </c>
      <c r="B26">
        <v>20.26153846153845</v>
      </c>
    </row>
    <row r="27" spans="1:2">
      <c r="A27" s="4" t="s">
        <v>31</v>
      </c>
      <c r="B27">
        <v>22.430769230769233</v>
      </c>
    </row>
    <row r="28" spans="1:2">
      <c r="A28" s="4" t="s">
        <v>32</v>
      </c>
      <c r="B28">
        <v>21.426086956521736</v>
      </c>
    </row>
    <row r="29" spans="1:2">
      <c r="A29" s="4" t="s">
        <v>33</v>
      </c>
      <c r="B29">
        <v>20.084251968503942</v>
      </c>
    </row>
    <row r="30" spans="1:2">
      <c r="A30" s="4" t="s">
        <v>34</v>
      </c>
      <c r="B30">
        <v>20.698684210526313</v>
      </c>
    </row>
    <row r="31" spans="1:2">
      <c r="A31" s="4" t="s">
        <v>35</v>
      </c>
      <c r="B31">
        <v>20.065384615384616</v>
      </c>
    </row>
    <row r="32" spans="1:2">
      <c r="A32" s="4" t="s">
        <v>36</v>
      </c>
      <c r="B32">
        <v>20.515021459227452</v>
      </c>
    </row>
    <row r="33" spans="1:2">
      <c r="A33" s="4" t="s">
        <v>5</v>
      </c>
      <c r="B33">
        <v>17.835714285714282</v>
      </c>
    </row>
    <row r="34" spans="1:2">
      <c r="A34" s="4" t="s">
        <v>37</v>
      </c>
      <c r="B34">
        <v>20.028088803088796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3730-7FCD-4D44-9CE5-A73F97EE8AFA}">
  <dimension ref="A3:R34"/>
  <sheetViews>
    <sheetView zoomScale="130" zoomScaleNormal="130" workbookViewId="0">
      <selection activeCell="H5" sqref="H5"/>
    </sheetView>
  </sheetViews>
  <sheetFormatPr defaultRowHeight="15"/>
  <cols>
    <col min="1" max="1" width="21.85546875" bestFit="1" customWidth="1"/>
    <col min="2" max="2" width="17.7109375" bestFit="1" customWidth="1"/>
    <col min="3" max="7" width="5" bestFit="1" customWidth="1"/>
    <col min="8" max="8" width="14.28515625" bestFit="1" customWidth="1"/>
    <col min="9" max="9" width="9" bestFit="1" customWidth="1"/>
    <col min="10" max="10" width="8.85546875" bestFit="1" customWidth="1"/>
    <col min="11" max="11" width="7" bestFit="1" customWidth="1"/>
    <col min="12" max="12" width="7.85546875" bestFit="1" customWidth="1"/>
    <col min="13" max="13" width="8.140625" bestFit="1" customWidth="1"/>
    <col min="14" max="14" width="6.42578125" bestFit="1" customWidth="1"/>
    <col min="15" max="15" width="7.28515625" bestFit="1" customWidth="1"/>
    <col min="16" max="16" width="14.28515625" bestFit="1" customWidth="1"/>
    <col min="17" max="17" width="11.42578125" bestFit="1" customWidth="1"/>
    <col min="18" max="18" width="15.140625" bestFit="1" customWidth="1"/>
    <col min="19" max="19" width="13.7109375" bestFit="1" customWidth="1"/>
    <col min="20" max="20" width="13.28515625" bestFit="1" customWidth="1"/>
    <col min="21" max="21" width="16" bestFit="1" customWidth="1"/>
    <col min="22" max="22" width="17" bestFit="1" customWidth="1"/>
    <col min="23" max="23" width="10.7109375" bestFit="1" customWidth="1"/>
    <col min="24" max="24" width="8" bestFit="1" customWidth="1"/>
    <col min="25" max="25" width="10.140625" bestFit="1" customWidth="1"/>
    <col min="26" max="26" width="11.7109375" bestFit="1" customWidth="1"/>
    <col min="27" max="27" width="14.85546875" bestFit="1" customWidth="1"/>
    <col min="28" max="28" width="13.5703125" bestFit="1" customWidth="1"/>
    <col min="29" max="29" width="11.5703125" bestFit="1" customWidth="1"/>
    <col min="30" max="30" width="7.140625" bestFit="1" customWidth="1"/>
    <col min="31" max="31" width="10.42578125" bestFit="1" customWidth="1"/>
    <col min="32" max="32" width="14.28515625" bestFit="1" customWidth="1"/>
  </cols>
  <sheetData>
    <row r="3" spans="1:18">
      <c r="A3" s="3" t="s">
        <v>38</v>
      </c>
      <c r="B3" s="3" t="s">
        <v>39</v>
      </c>
      <c r="L3" t="s">
        <v>7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</row>
    <row r="4" spans="1:18">
      <c r="A4" s="3" t="s">
        <v>7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L4" t="s">
        <v>6</v>
      </c>
      <c r="M4">
        <v>5</v>
      </c>
      <c r="N4">
        <v>7</v>
      </c>
      <c r="O4">
        <v>11</v>
      </c>
      <c r="P4">
        <v>2</v>
      </c>
      <c r="Q4">
        <v>13</v>
      </c>
      <c r="R4">
        <v>5</v>
      </c>
    </row>
    <row r="5" spans="1:18">
      <c r="A5" s="4" t="s">
        <v>6</v>
      </c>
      <c r="B5">
        <v>5</v>
      </c>
      <c r="C5">
        <v>7</v>
      </c>
      <c r="D5">
        <v>11</v>
      </c>
      <c r="E5">
        <v>2</v>
      </c>
      <c r="F5">
        <v>13</v>
      </c>
      <c r="G5">
        <v>5</v>
      </c>
      <c r="L5" t="s">
        <v>9</v>
      </c>
      <c r="M5">
        <v>23</v>
      </c>
      <c r="N5">
        <v>20</v>
      </c>
      <c r="O5">
        <v>21</v>
      </c>
      <c r="P5">
        <v>29</v>
      </c>
      <c r="Q5">
        <v>20</v>
      </c>
      <c r="R5">
        <v>25</v>
      </c>
    </row>
    <row r="6" spans="1:18">
      <c r="A6" s="4" t="s">
        <v>9</v>
      </c>
      <c r="B6">
        <v>23</v>
      </c>
      <c r="C6">
        <v>20</v>
      </c>
      <c r="D6">
        <v>21</v>
      </c>
      <c r="E6">
        <v>29</v>
      </c>
      <c r="F6">
        <v>20</v>
      </c>
      <c r="G6">
        <v>25</v>
      </c>
      <c r="L6" t="s">
        <v>10</v>
      </c>
      <c r="M6">
        <v>10</v>
      </c>
      <c r="N6">
        <v>5</v>
      </c>
      <c r="O6">
        <v>9</v>
      </c>
      <c r="P6">
        <v>12</v>
      </c>
      <c r="Q6">
        <v>10</v>
      </c>
      <c r="R6">
        <v>10</v>
      </c>
    </row>
    <row r="7" spans="1:18">
      <c r="A7" s="4" t="s">
        <v>10</v>
      </c>
      <c r="B7">
        <v>10</v>
      </c>
      <c r="C7">
        <v>5</v>
      </c>
      <c r="D7">
        <v>9</v>
      </c>
      <c r="E7">
        <v>12</v>
      </c>
      <c r="F7">
        <v>10</v>
      </c>
      <c r="G7">
        <v>10</v>
      </c>
      <c r="L7" t="s">
        <v>11</v>
      </c>
      <c r="M7">
        <v>9</v>
      </c>
      <c r="N7">
        <v>10</v>
      </c>
      <c r="O7">
        <v>15</v>
      </c>
      <c r="P7">
        <v>8</v>
      </c>
      <c r="Q7">
        <v>10</v>
      </c>
      <c r="R7">
        <v>7</v>
      </c>
    </row>
    <row r="8" spans="1:18">
      <c r="A8" s="4" t="s">
        <v>11</v>
      </c>
      <c r="B8">
        <v>9</v>
      </c>
      <c r="C8">
        <v>10</v>
      </c>
      <c r="D8">
        <v>15</v>
      </c>
      <c r="E8">
        <v>8</v>
      </c>
      <c r="F8">
        <v>10</v>
      </c>
      <c r="G8">
        <v>7</v>
      </c>
      <c r="L8" t="s">
        <v>12</v>
      </c>
      <c r="M8">
        <v>7</v>
      </c>
      <c r="N8">
        <v>7</v>
      </c>
      <c r="O8">
        <v>11</v>
      </c>
      <c r="P8">
        <v>14</v>
      </c>
      <c r="Q8">
        <v>5</v>
      </c>
      <c r="R8">
        <v>9</v>
      </c>
    </row>
    <row r="9" spans="1:18">
      <c r="A9" s="4" t="s">
        <v>12</v>
      </c>
      <c r="B9">
        <v>7</v>
      </c>
      <c r="C9">
        <v>7</v>
      </c>
      <c r="D9">
        <v>11</v>
      </c>
      <c r="E9">
        <v>14</v>
      </c>
      <c r="F9">
        <v>5</v>
      </c>
      <c r="G9">
        <v>9</v>
      </c>
      <c r="L9" t="s">
        <v>13</v>
      </c>
      <c r="M9">
        <v>4</v>
      </c>
      <c r="N9">
        <v>4</v>
      </c>
      <c r="O9">
        <v>3</v>
      </c>
      <c r="P9">
        <v>3</v>
      </c>
      <c r="Q9">
        <v>10</v>
      </c>
      <c r="R9">
        <v>7</v>
      </c>
    </row>
    <row r="10" spans="1:18">
      <c r="A10" s="4" t="s">
        <v>13</v>
      </c>
      <c r="B10">
        <v>4</v>
      </c>
      <c r="C10">
        <v>4</v>
      </c>
      <c r="D10">
        <v>3</v>
      </c>
      <c r="E10">
        <v>3</v>
      </c>
      <c r="F10">
        <v>10</v>
      </c>
      <c r="G10">
        <v>7</v>
      </c>
      <c r="L10" t="s">
        <v>14</v>
      </c>
      <c r="M10">
        <v>6</v>
      </c>
      <c r="N10">
        <v>10</v>
      </c>
      <c r="O10">
        <v>7</v>
      </c>
      <c r="P10">
        <v>13</v>
      </c>
      <c r="Q10">
        <v>7</v>
      </c>
      <c r="R10">
        <v>7</v>
      </c>
    </row>
    <row r="11" spans="1:18">
      <c r="A11" s="4" t="s">
        <v>14</v>
      </c>
      <c r="B11">
        <v>6</v>
      </c>
      <c r="C11">
        <v>10</v>
      </c>
      <c r="D11">
        <v>7</v>
      </c>
      <c r="E11">
        <v>13</v>
      </c>
      <c r="F11">
        <v>7</v>
      </c>
      <c r="G11">
        <v>7</v>
      </c>
      <c r="L11" t="s">
        <v>15</v>
      </c>
      <c r="M11">
        <v>4</v>
      </c>
      <c r="N11">
        <v>5</v>
      </c>
      <c r="O11">
        <v>1</v>
      </c>
      <c r="P11">
        <v>1</v>
      </c>
      <c r="Q11">
        <v>1</v>
      </c>
      <c r="R11">
        <v>1</v>
      </c>
    </row>
    <row r="12" spans="1:18">
      <c r="A12" s="4" t="s">
        <v>15</v>
      </c>
      <c r="B12">
        <v>4</v>
      </c>
      <c r="C12">
        <v>5</v>
      </c>
      <c r="D12">
        <v>1</v>
      </c>
      <c r="E12">
        <v>1</v>
      </c>
      <c r="F12">
        <v>1</v>
      </c>
      <c r="G12">
        <v>1</v>
      </c>
      <c r="L12" t="s">
        <v>16</v>
      </c>
      <c r="M12">
        <v>21</v>
      </c>
      <c r="N12">
        <v>27</v>
      </c>
      <c r="O12">
        <v>18</v>
      </c>
      <c r="P12">
        <v>33</v>
      </c>
      <c r="Q12">
        <v>30</v>
      </c>
      <c r="R12">
        <v>23</v>
      </c>
    </row>
    <row r="13" spans="1:18">
      <c r="A13" s="4" t="s">
        <v>16</v>
      </c>
      <c r="B13">
        <v>21</v>
      </c>
      <c r="C13">
        <v>27</v>
      </c>
      <c r="D13">
        <v>18</v>
      </c>
      <c r="E13">
        <v>33</v>
      </c>
      <c r="F13">
        <v>30</v>
      </c>
      <c r="G13">
        <v>23</v>
      </c>
      <c r="L13" t="s">
        <v>17</v>
      </c>
      <c r="M13">
        <v>2</v>
      </c>
      <c r="N13">
        <v>3</v>
      </c>
      <c r="O13">
        <v>2</v>
      </c>
      <c r="P13">
        <v>3</v>
      </c>
      <c r="Q13">
        <v>3</v>
      </c>
      <c r="R13">
        <v>2</v>
      </c>
    </row>
    <row r="14" spans="1:18">
      <c r="A14" s="4" t="s">
        <v>17</v>
      </c>
      <c r="B14">
        <v>2</v>
      </c>
      <c r="C14">
        <v>3</v>
      </c>
      <c r="D14">
        <v>2</v>
      </c>
      <c r="E14">
        <v>3</v>
      </c>
      <c r="F14">
        <v>3</v>
      </c>
      <c r="G14">
        <v>2</v>
      </c>
      <c r="L14" t="s">
        <v>18</v>
      </c>
      <c r="M14">
        <v>6</v>
      </c>
      <c r="N14">
        <v>9</v>
      </c>
      <c r="O14">
        <v>5</v>
      </c>
      <c r="P14">
        <v>4</v>
      </c>
      <c r="Q14">
        <v>8</v>
      </c>
      <c r="R14">
        <v>7</v>
      </c>
    </row>
    <row r="15" spans="1:18">
      <c r="A15" s="4" t="s">
        <v>18</v>
      </c>
      <c r="B15">
        <v>6</v>
      </c>
      <c r="C15">
        <v>9</v>
      </c>
      <c r="D15">
        <v>5</v>
      </c>
      <c r="E15">
        <v>4</v>
      </c>
      <c r="F15">
        <v>8</v>
      </c>
      <c r="G15">
        <v>7</v>
      </c>
      <c r="L15" t="s">
        <v>19</v>
      </c>
      <c r="M15">
        <v>8</v>
      </c>
      <c r="N15">
        <v>19</v>
      </c>
      <c r="O15">
        <v>23</v>
      </c>
      <c r="P15">
        <v>20</v>
      </c>
      <c r="Q15">
        <v>22</v>
      </c>
      <c r="R15">
        <v>16</v>
      </c>
    </row>
    <row r="16" spans="1:18">
      <c r="A16" s="4" t="s">
        <v>19</v>
      </c>
      <c r="B16">
        <v>8</v>
      </c>
      <c r="C16">
        <v>19</v>
      </c>
      <c r="D16">
        <v>23</v>
      </c>
      <c r="E16">
        <v>20</v>
      </c>
      <c r="F16">
        <v>22</v>
      </c>
      <c r="G16">
        <v>16</v>
      </c>
      <c r="L16" t="s">
        <v>20</v>
      </c>
      <c r="M16">
        <v>1</v>
      </c>
      <c r="N16">
        <v>4</v>
      </c>
      <c r="O16">
        <v>2</v>
      </c>
      <c r="P16">
        <v>1</v>
      </c>
      <c r="Q16">
        <v>3</v>
      </c>
      <c r="R16">
        <v>4</v>
      </c>
    </row>
    <row r="17" spans="1:18">
      <c r="A17" s="4" t="s">
        <v>20</v>
      </c>
      <c r="B17">
        <v>1</v>
      </c>
      <c r="C17">
        <v>4</v>
      </c>
      <c r="D17">
        <v>2</v>
      </c>
      <c r="E17">
        <v>1</v>
      </c>
      <c r="F17">
        <v>3</v>
      </c>
      <c r="G17">
        <v>4</v>
      </c>
      <c r="L17" t="s">
        <v>21</v>
      </c>
      <c r="M17">
        <v>47</v>
      </c>
      <c r="N17">
        <v>51</v>
      </c>
      <c r="O17">
        <v>67</v>
      </c>
      <c r="P17">
        <v>53</v>
      </c>
      <c r="Q17">
        <v>51</v>
      </c>
      <c r="R17">
        <v>33</v>
      </c>
    </row>
    <row r="18" spans="1:18">
      <c r="A18" s="4" t="s">
        <v>21</v>
      </c>
      <c r="B18">
        <v>47</v>
      </c>
      <c r="C18">
        <v>51</v>
      </c>
      <c r="D18">
        <v>67</v>
      </c>
      <c r="E18">
        <v>53</v>
      </c>
      <c r="F18">
        <v>51</v>
      </c>
      <c r="G18">
        <v>33</v>
      </c>
      <c r="L18" t="s">
        <v>22</v>
      </c>
      <c r="M18">
        <v>6</v>
      </c>
      <c r="N18">
        <v>4</v>
      </c>
      <c r="O18">
        <v>5</v>
      </c>
      <c r="P18">
        <v>3</v>
      </c>
      <c r="Q18">
        <v>9</v>
      </c>
      <c r="R18">
        <v>13</v>
      </c>
    </row>
    <row r="19" spans="1:18">
      <c r="A19" s="4" t="s">
        <v>22</v>
      </c>
      <c r="B19">
        <v>6</v>
      </c>
      <c r="C19">
        <v>4</v>
      </c>
      <c r="D19">
        <v>5</v>
      </c>
      <c r="E19">
        <v>3</v>
      </c>
      <c r="F19">
        <v>9</v>
      </c>
      <c r="G19">
        <v>13</v>
      </c>
      <c r="L19" t="s">
        <v>23</v>
      </c>
      <c r="M19">
        <v>11</v>
      </c>
      <c r="N19">
        <v>11</v>
      </c>
      <c r="O19">
        <v>9</v>
      </c>
      <c r="P19">
        <v>10</v>
      </c>
      <c r="Q19">
        <v>10</v>
      </c>
      <c r="R19">
        <v>3</v>
      </c>
    </row>
    <row r="20" spans="1:18">
      <c r="A20" s="4" t="s">
        <v>23</v>
      </c>
      <c r="B20">
        <v>11</v>
      </c>
      <c r="C20">
        <v>11</v>
      </c>
      <c r="D20">
        <v>9</v>
      </c>
      <c r="E20">
        <v>10</v>
      </c>
      <c r="F20">
        <v>10</v>
      </c>
      <c r="G20">
        <v>3</v>
      </c>
      <c r="L20" t="s">
        <v>24</v>
      </c>
      <c r="M20">
        <v>8</v>
      </c>
      <c r="N20">
        <v>14</v>
      </c>
      <c r="O20">
        <v>10</v>
      </c>
      <c r="P20">
        <v>8</v>
      </c>
      <c r="Q20">
        <v>14</v>
      </c>
      <c r="R20">
        <v>10</v>
      </c>
    </row>
    <row r="21" spans="1:18">
      <c r="A21" s="4" t="s">
        <v>24</v>
      </c>
      <c r="B21">
        <v>8</v>
      </c>
      <c r="C21">
        <v>14</v>
      </c>
      <c r="D21">
        <v>10</v>
      </c>
      <c r="E21">
        <v>8</v>
      </c>
      <c r="F21">
        <v>14</v>
      </c>
      <c r="G21">
        <v>10</v>
      </c>
      <c r="L21" t="s">
        <v>25</v>
      </c>
      <c r="M21">
        <v>2</v>
      </c>
      <c r="N21">
        <v>3</v>
      </c>
      <c r="O21">
        <v>2</v>
      </c>
      <c r="P21">
        <v>3</v>
      </c>
      <c r="Q21">
        <v>2</v>
      </c>
      <c r="R21">
        <v>2</v>
      </c>
    </row>
    <row r="22" spans="1:18">
      <c r="A22" s="4" t="s">
        <v>25</v>
      </c>
      <c r="B22">
        <v>2</v>
      </c>
      <c r="C22">
        <v>3</v>
      </c>
      <c r="D22">
        <v>2</v>
      </c>
      <c r="E22">
        <v>3</v>
      </c>
      <c r="F22">
        <v>2</v>
      </c>
      <c r="G22">
        <v>2</v>
      </c>
      <c r="L22" t="s">
        <v>26</v>
      </c>
      <c r="M22">
        <v>14</v>
      </c>
      <c r="N22">
        <v>19</v>
      </c>
      <c r="O22">
        <v>8</v>
      </c>
      <c r="P22">
        <v>13</v>
      </c>
      <c r="Q22">
        <v>14</v>
      </c>
      <c r="R22">
        <v>12</v>
      </c>
    </row>
    <row r="23" spans="1:18">
      <c r="A23" s="4" t="s">
        <v>26</v>
      </c>
      <c r="B23">
        <v>14</v>
      </c>
      <c r="C23">
        <v>19</v>
      </c>
      <c r="D23">
        <v>8</v>
      </c>
      <c r="E23">
        <v>13</v>
      </c>
      <c r="F23">
        <v>14</v>
      </c>
      <c r="G23">
        <v>12</v>
      </c>
      <c r="L23" t="s">
        <v>27</v>
      </c>
      <c r="M23">
        <v>2</v>
      </c>
      <c r="N23">
        <v>5</v>
      </c>
      <c r="O23">
        <v>3</v>
      </c>
      <c r="P23">
        <v>2</v>
      </c>
      <c r="R23">
        <v>2</v>
      </c>
    </row>
    <row r="24" spans="1:18">
      <c r="A24" s="4" t="s">
        <v>27</v>
      </c>
      <c r="B24">
        <v>2</v>
      </c>
      <c r="C24">
        <v>5</v>
      </c>
      <c r="D24">
        <v>3</v>
      </c>
      <c r="E24">
        <v>2</v>
      </c>
      <c r="G24">
        <v>2</v>
      </c>
      <c r="L24" t="s">
        <v>28</v>
      </c>
      <c r="M24">
        <v>4</v>
      </c>
      <c r="N24">
        <v>5</v>
      </c>
      <c r="O24">
        <v>5</v>
      </c>
      <c r="P24">
        <v>2</v>
      </c>
      <c r="Q24">
        <v>2</v>
      </c>
      <c r="R24">
        <v>7</v>
      </c>
    </row>
    <row r="25" spans="1:18">
      <c r="A25" s="4" t="s">
        <v>28</v>
      </c>
      <c r="B25">
        <v>4</v>
      </c>
      <c r="C25">
        <v>5</v>
      </c>
      <c r="D25">
        <v>5</v>
      </c>
      <c r="E25">
        <v>2</v>
      </c>
      <c r="F25">
        <v>2</v>
      </c>
      <c r="G25">
        <v>7</v>
      </c>
      <c r="L25" t="s">
        <v>29</v>
      </c>
      <c r="M25">
        <v>11</v>
      </c>
      <c r="N25">
        <v>24</v>
      </c>
      <c r="O25">
        <v>23</v>
      </c>
      <c r="P25">
        <v>19</v>
      </c>
      <c r="Q25">
        <v>14</v>
      </c>
      <c r="R25">
        <v>13</v>
      </c>
    </row>
    <row r="26" spans="1:18">
      <c r="A26" s="4" t="s">
        <v>29</v>
      </c>
      <c r="B26">
        <v>11</v>
      </c>
      <c r="C26">
        <v>24</v>
      </c>
      <c r="D26">
        <v>23</v>
      </c>
      <c r="E26">
        <v>19</v>
      </c>
      <c r="F26">
        <v>14</v>
      </c>
      <c r="G26">
        <v>13</v>
      </c>
      <c r="L26" t="s">
        <v>30</v>
      </c>
      <c r="M26">
        <v>13</v>
      </c>
      <c r="N26">
        <v>11</v>
      </c>
      <c r="O26">
        <v>11</v>
      </c>
      <c r="P26">
        <v>25</v>
      </c>
      <c r="Q26">
        <v>17</v>
      </c>
      <c r="R26">
        <v>14</v>
      </c>
    </row>
    <row r="27" spans="1:18">
      <c r="A27" s="4" t="s">
        <v>30</v>
      </c>
      <c r="B27">
        <v>13</v>
      </c>
      <c r="C27">
        <v>11</v>
      </c>
      <c r="D27">
        <v>11</v>
      </c>
      <c r="E27">
        <v>25</v>
      </c>
      <c r="F27">
        <v>17</v>
      </c>
      <c r="G27">
        <v>14</v>
      </c>
      <c r="L27" t="s">
        <v>31</v>
      </c>
      <c r="M27">
        <v>3</v>
      </c>
      <c r="N27">
        <v>3</v>
      </c>
      <c r="O27">
        <v>1</v>
      </c>
      <c r="Q27">
        <v>4</v>
      </c>
      <c r="R27">
        <v>2</v>
      </c>
    </row>
    <row r="28" spans="1:18">
      <c r="A28" s="4" t="s">
        <v>31</v>
      </c>
      <c r="B28">
        <v>3</v>
      </c>
      <c r="C28">
        <v>3</v>
      </c>
      <c r="D28">
        <v>1</v>
      </c>
      <c r="F28">
        <v>4</v>
      </c>
      <c r="G28">
        <v>2</v>
      </c>
      <c r="L28" t="s">
        <v>32</v>
      </c>
      <c r="M28">
        <v>1</v>
      </c>
      <c r="N28">
        <v>7</v>
      </c>
      <c r="O28">
        <v>2</v>
      </c>
      <c r="P28">
        <v>4</v>
      </c>
      <c r="Q28">
        <v>5</v>
      </c>
      <c r="R28">
        <v>4</v>
      </c>
    </row>
    <row r="29" spans="1:18">
      <c r="A29" s="4" t="s">
        <v>32</v>
      </c>
      <c r="B29">
        <v>1</v>
      </c>
      <c r="C29">
        <v>7</v>
      </c>
      <c r="D29">
        <v>2</v>
      </c>
      <c r="E29">
        <v>4</v>
      </c>
      <c r="F29">
        <v>5</v>
      </c>
      <c r="G29">
        <v>4</v>
      </c>
      <c r="L29" t="s">
        <v>33</v>
      </c>
      <c r="M29">
        <v>25</v>
      </c>
      <c r="N29">
        <v>22</v>
      </c>
      <c r="O29">
        <v>25</v>
      </c>
      <c r="P29">
        <v>22</v>
      </c>
      <c r="Q29">
        <v>15</v>
      </c>
      <c r="R29">
        <v>18</v>
      </c>
    </row>
    <row r="30" spans="1:18">
      <c r="A30" s="4" t="s">
        <v>33</v>
      </c>
      <c r="B30">
        <v>25</v>
      </c>
      <c r="C30">
        <v>22</v>
      </c>
      <c r="D30">
        <v>25</v>
      </c>
      <c r="E30">
        <v>22</v>
      </c>
      <c r="F30">
        <v>15</v>
      </c>
      <c r="G30">
        <v>18</v>
      </c>
      <c r="L30" t="s">
        <v>34</v>
      </c>
      <c r="M30">
        <v>14</v>
      </c>
      <c r="N30">
        <v>12</v>
      </c>
      <c r="O30">
        <v>19</v>
      </c>
      <c r="P30">
        <v>13</v>
      </c>
      <c r="Q30">
        <v>12</v>
      </c>
      <c r="R30">
        <v>6</v>
      </c>
    </row>
    <row r="31" spans="1:18">
      <c r="A31" s="4" t="s">
        <v>34</v>
      </c>
      <c r="B31">
        <v>14</v>
      </c>
      <c r="C31">
        <v>12</v>
      </c>
      <c r="D31">
        <v>19</v>
      </c>
      <c r="E31">
        <v>13</v>
      </c>
      <c r="F31">
        <v>12</v>
      </c>
      <c r="G31">
        <v>6</v>
      </c>
      <c r="L31" t="s">
        <v>35</v>
      </c>
      <c r="M31">
        <v>6</v>
      </c>
      <c r="N31">
        <v>2</v>
      </c>
      <c r="O31">
        <v>5</v>
      </c>
      <c r="P31">
        <v>4</v>
      </c>
      <c r="Q31">
        <v>6</v>
      </c>
      <c r="R31">
        <v>3</v>
      </c>
    </row>
    <row r="32" spans="1:18">
      <c r="A32" s="4" t="s">
        <v>35</v>
      </c>
      <c r="B32">
        <v>6</v>
      </c>
      <c r="C32">
        <v>2</v>
      </c>
      <c r="D32">
        <v>5</v>
      </c>
      <c r="E32">
        <v>4</v>
      </c>
      <c r="F32">
        <v>6</v>
      </c>
      <c r="G32">
        <v>3</v>
      </c>
      <c r="L32" t="s">
        <v>36</v>
      </c>
      <c r="M32">
        <v>29</v>
      </c>
      <c r="N32">
        <v>40</v>
      </c>
      <c r="O32">
        <v>38</v>
      </c>
      <c r="P32">
        <v>41</v>
      </c>
      <c r="Q32">
        <v>46</v>
      </c>
      <c r="R32">
        <v>39</v>
      </c>
    </row>
    <row r="33" spans="1:18">
      <c r="A33" s="4" t="s">
        <v>36</v>
      </c>
      <c r="B33">
        <v>29</v>
      </c>
      <c r="C33">
        <v>40</v>
      </c>
      <c r="D33">
        <v>38</v>
      </c>
      <c r="E33">
        <v>41</v>
      </c>
      <c r="F33">
        <v>46</v>
      </c>
      <c r="G33">
        <v>39</v>
      </c>
      <c r="L33" t="s">
        <v>5</v>
      </c>
      <c r="M33">
        <v>2</v>
      </c>
      <c r="N33">
        <v>2</v>
      </c>
      <c r="O33">
        <v>4</v>
      </c>
      <c r="P33">
        <v>1</v>
      </c>
      <c r="Q33">
        <v>2</v>
      </c>
      <c r="R33">
        <v>3</v>
      </c>
    </row>
    <row r="34" spans="1:18">
      <c r="A34" s="4" t="s">
        <v>5</v>
      </c>
      <c r="B34">
        <v>2</v>
      </c>
      <c r="C34">
        <v>2</v>
      </c>
      <c r="D34">
        <v>4</v>
      </c>
      <c r="E34">
        <v>1</v>
      </c>
      <c r="F34">
        <v>2</v>
      </c>
      <c r="G34">
        <v>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E160-23AB-413B-8F7B-1C503F2743D5}">
  <dimension ref="A1:L2073"/>
  <sheetViews>
    <sheetView tabSelected="1" topLeftCell="B1" zoomScale="160" zoomScaleNormal="160" workbookViewId="0">
      <selection activeCell="H1" sqref="H1"/>
    </sheetView>
  </sheetViews>
  <sheetFormatPr defaultRowHeight="15"/>
  <cols>
    <col min="1" max="1" width="16.28515625" customWidth="1"/>
    <col min="2" max="2" width="16.85546875" bestFit="1" customWidth="1"/>
    <col min="3" max="3" width="11.7109375" bestFit="1" customWidth="1"/>
    <col min="4" max="4" width="19.28515625" customWidth="1"/>
    <col min="5" max="5" width="19.5703125" customWidth="1"/>
    <col min="6" max="6" width="18.5703125" customWidth="1"/>
    <col min="7" max="7" width="13.140625" customWidth="1"/>
    <col min="8" max="8" width="25.7109375" customWidth="1"/>
    <col min="9" max="9" width="19.140625" customWidth="1"/>
    <col min="10" max="10" width="21.85546875" customWidth="1"/>
    <col min="11" max="11" width="16.5703125" customWidth="1"/>
    <col min="12" max="12" width="12.42578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</v>
      </c>
      <c r="G1" t="s">
        <v>47</v>
      </c>
      <c r="H1" t="s">
        <v>48</v>
      </c>
    </row>
    <row r="2" spans="1:12">
      <c r="A2" s="1">
        <v>48641</v>
      </c>
      <c r="B2" t="s">
        <v>15</v>
      </c>
      <c r="C2">
        <v>27.8</v>
      </c>
      <c r="D2">
        <v>0.2</v>
      </c>
      <c r="E2" s="2">
        <f>C2*D2 / 100</f>
        <v>5.5600000000000004E-2</v>
      </c>
      <c r="F2">
        <v>1</v>
      </c>
      <c r="G2" t="str">
        <f>IF(F2=7, SUM(E2:E8), "")</f>
        <v/>
      </c>
      <c r="J2" t="s">
        <v>49</v>
      </c>
      <c r="K2">
        <f>SUM(martianeum[masa '[kg']])</f>
        <v>41498.199999999975</v>
      </c>
    </row>
    <row r="3" spans="1:12">
      <c r="A3" s="1">
        <v>48642</v>
      </c>
      <c r="B3" t="s">
        <v>10</v>
      </c>
      <c r="C3">
        <v>11.8</v>
      </c>
      <c r="D3">
        <v>1.7</v>
      </c>
      <c r="E3" s="2">
        <f>C3*D3 / 100</f>
        <v>0.20060000000000003</v>
      </c>
      <c r="F3">
        <f>IF(F2 &lt; 7, F2 +1,1)</f>
        <v>2</v>
      </c>
      <c r="J3" t="s">
        <v>50</v>
      </c>
      <c r="K3">
        <f>SUM(martianeum[PRAWIDZWA_MASA])</f>
        <v>3107.9404000000013</v>
      </c>
    </row>
    <row r="4" spans="1:12">
      <c r="A4" s="1">
        <v>48643</v>
      </c>
      <c r="B4" t="s">
        <v>30</v>
      </c>
      <c r="C4">
        <v>21</v>
      </c>
      <c r="D4">
        <v>6</v>
      </c>
      <c r="E4" s="2">
        <f>C4*D4 / 100</f>
        <v>1.26</v>
      </c>
      <c r="F4">
        <f>IF(F3 &lt; 7, F3 +1,1)</f>
        <v>3</v>
      </c>
    </row>
    <row r="5" spans="1:12">
      <c r="A5" s="1">
        <v>48644</v>
      </c>
      <c r="B5" t="s">
        <v>16</v>
      </c>
      <c r="C5">
        <v>26.3</v>
      </c>
      <c r="D5">
        <v>11.4</v>
      </c>
      <c r="E5" s="2">
        <f>C5*D5 / 100</f>
        <v>2.9981999999999998</v>
      </c>
      <c r="F5">
        <f>IF(F4 &lt; 7, F4 +1,1)</f>
        <v>4</v>
      </c>
      <c r="J5">
        <f>MAX(G:G)</f>
        <v>174.49999999999997</v>
      </c>
      <c r="K5" s="1">
        <v>49656</v>
      </c>
      <c r="L5" s="5">
        <v>49662</v>
      </c>
    </row>
    <row r="6" spans="1:12">
      <c r="A6" s="1">
        <v>48645</v>
      </c>
      <c r="B6" t="s">
        <v>22</v>
      </c>
      <c r="C6">
        <v>28.8</v>
      </c>
      <c r="D6">
        <v>0</v>
      </c>
      <c r="E6" s="2">
        <f>C6*D6 / 100</f>
        <v>0</v>
      </c>
      <c r="F6">
        <f>IF(F5 &lt; 7, F5 +1,1)</f>
        <v>5</v>
      </c>
    </row>
    <row r="7" spans="1:12">
      <c r="A7" s="1">
        <v>48646</v>
      </c>
      <c r="B7" t="s">
        <v>26</v>
      </c>
      <c r="C7">
        <v>29.2</v>
      </c>
      <c r="D7">
        <v>0</v>
      </c>
      <c r="E7" s="2">
        <f>C7*D7 / 100</f>
        <v>0</v>
      </c>
      <c r="F7">
        <f>IF(F6 &lt; 7, F6 +1,1)</f>
        <v>6</v>
      </c>
    </row>
    <row r="8" spans="1:12">
      <c r="A8" s="1">
        <v>48647</v>
      </c>
      <c r="B8" t="s">
        <v>21</v>
      </c>
      <c r="C8">
        <v>25.6</v>
      </c>
      <c r="D8">
        <v>28.7</v>
      </c>
      <c r="E8" s="2">
        <f>C8*D8 / 100</f>
        <v>7.3472</v>
      </c>
      <c r="F8">
        <f>IF(F7 &lt; 7, F7 +1,1)</f>
        <v>7</v>
      </c>
      <c r="G8">
        <f>IF(F8=7, SUM(C2:C8), "")</f>
        <v>170.5</v>
      </c>
    </row>
    <row r="9" spans="1:12">
      <c r="A9" s="1">
        <v>48648</v>
      </c>
      <c r="B9" t="s">
        <v>9</v>
      </c>
      <c r="C9">
        <v>10.1</v>
      </c>
      <c r="D9">
        <v>7.7</v>
      </c>
      <c r="E9" s="2">
        <f>C9*D9 / 100</f>
        <v>0.77769999999999995</v>
      </c>
      <c r="F9">
        <f>IF(F8 &lt; 7, F8 +1,1)</f>
        <v>1</v>
      </c>
      <c r="G9" t="str">
        <f t="shared" ref="G9:G72" si="0">IF(F9=7, SUM(C3:C9), "")</f>
        <v/>
      </c>
    </row>
    <row r="10" spans="1:12">
      <c r="A10" s="1">
        <v>48649</v>
      </c>
      <c r="B10" t="s">
        <v>34</v>
      </c>
      <c r="C10">
        <v>14.6</v>
      </c>
      <c r="D10">
        <v>0</v>
      </c>
      <c r="E10" s="2">
        <f>C10*D10 / 100</f>
        <v>0</v>
      </c>
      <c r="F10">
        <f>IF(F9 &lt; 7, F9 +1,1)</f>
        <v>2</v>
      </c>
      <c r="G10" t="str">
        <f t="shared" si="0"/>
        <v/>
      </c>
    </row>
    <row r="11" spans="1:12">
      <c r="A11" s="1">
        <v>48650</v>
      </c>
      <c r="B11" t="s">
        <v>19</v>
      </c>
      <c r="C11">
        <v>11.5</v>
      </c>
      <c r="D11">
        <v>1.9</v>
      </c>
      <c r="E11" s="2">
        <f>C11*D11 / 100</f>
        <v>0.21849999999999997</v>
      </c>
      <c r="F11">
        <f>IF(F10 &lt; 7, F10 +1,1)</f>
        <v>3</v>
      </c>
      <c r="G11" t="str">
        <f t="shared" si="0"/>
        <v/>
      </c>
    </row>
    <row r="12" spans="1:12">
      <c r="A12" s="1">
        <v>48651</v>
      </c>
      <c r="B12" t="s">
        <v>26</v>
      </c>
      <c r="C12">
        <v>15.2</v>
      </c>
      <c r="D12">
        <v>0</v>
      </c>
      <c r="E12" s="2">
        <f>C12*D12 / 100</f>
        <v>0</v>
      </c>
      <c r="F12">
        <f>IF(F11 &lt; 7, F11 +1,1)</f>
        <v>4</v>
      </c>
      <c r="G12" t="str">
        <f t="shared" si="0"/>
        <v/>
      </c>
    </row>
    <row r="13" spans="1:12">
      <c r="A13" s="1">
        <v>48652</v>
      </c>
      <c r="B13" t="s">
        <v>21</v>
      </c>
      <c r="C13">
        <v>10.199999999999999</v>
      </c>
      <c r="D13">
        <v>13.3</v>
      </c>
      <c r="E13" s="2">
        <f>C13*D13 / 100</f>
        <v>1.3566</v>
      </c>
      <c r="F13">
        <f>IF(F12 &lt; 7, F12 +1,1)</f>
        <v>5</v>
      </c>
      <c r="G13" t="str">
        <f t="shared" si="0"/>
        <v/>
      </c>
    </row>
    <row r="14" spans="1:12">
      <c r="A14" s="1">
        <v>48653</v>
      </c>
      <c r="B14" t="s">
        <v>11</v>
      </c>
      <c r="C14">
        <v>20.399999999999999</v>
      </c>
      <c r="D14">
        <v>4.5999999999999996</v>
      </c>
      <c r="E14" s="2">
        <f>C14*D14 / 100</f>
        <v>0.9383999999999999</v>
      </c>
      <c r="F14">
        <f>IF(F13 &lt; 7, F13 +1,1)</f>
        <v>6</v>
      </c>
      <c r="G14" t="str">
        <f t="shared" si="0"/>
        <v/>
      </c>
    </row>
    <row r="15" spans="1:12">
      <c r="A15" s="1">
        <v>48654</v>
      </c>
      <c r="B15" t="s">
        <v>11</v>
      </c>
      <c r="C15">
        <v>13.6</v>
      </c>
      <c r="D15">
        <v>8</v>
      </c>
      <c r="E15" s="2">
        <f>C15*D15 / 100</f>
        <v>1.0880000000000001</v>
      </c>
      <c r="F15">
        <f>IF(F14 &lt; 7, F14 +1,1)</f>
        <v>7</v>
      </c>
      <c r="G15">
        <f t="shared" si="0"/>
        <v>95.6</v>
      </c>
    </row>
    <row r="16" spans="1:12">
      <c r="A16" s="1">
        <v>48655</v>
      </c>
      <c r="B16" t="s">
        <v>33</v>
      </c>
      <c r="C16">
        <v>11</v>
      </c>
      <c r="D16">
        <v>11.6</v>
      </c>
      <c r="E16" s="2">
        <f>C16*D16 / 100</f>
        <v>1.276</v>
      </c>
      <c r="F16">
        <f>IF(F15 &lt; 7, F15 +1,1)</f>
        <v>1</v>
      </c>
      <c r="G16" t="str">
        <f t="shared" si="0"/>
        <v/>
      </c>
    </row>
    <row r="17" spans="1:7">
      <c r="A17" s="1">
        <v>48656</v>
      </c>
      <c r="B17" t="s">
        <v>31</v>
      </c>
      <c r="C17">
        <v>14.1</v>
      </c>
      <c r="D17">
        <v>0</v>
      </c>
      <c r="E17" s="2">
        <f>C17*D17 / 100</f>
        <v>0</v>
      </c>
      <c r="F17">
        <f>IF(F16 &lt; 7, F16 +1,1)</f>
        <v>2</v>
      </c>
      <c r="G17" t="str">
        <f t="shared" si="0"/>
        <v/>
      </c>
    </row>
    <row r="18" spans="1:7">
      <c r="A18" s="1">
        <v>48657</v>
      </c>
      <c r="B18" t="s">
        <v>21</v>
      </c>
      <c r="C18">
        <v>19.2</v>
      </c>
      <c r="D18">
        <v>0</v>
      </c>
      <c r="E18" s="2">
        <f>C18*D18 / 100</f>
        <v>0</v>
      </c>
      <c r="F18">
        <f>IF(F17 &lt; 7, F17 +1,1)</f>
        <v>3</v>
      </c>
      <c r="G18" t="str">
        <f t="shared" si="0"/>
        <v/>
      </c>
    </row>
    <row r="19" spans="1:7">
      <c r="A19" s="1">
        <v>48658</v>
      </c>
      <c r="B19" t="s">
        <v>21</v>
      </c>
      <c r="C19">
        <v>20.7</v>
      </c>
      <c r="D19">
        <v>0</v>
      </c>
      <c r="E19" s="2">
        <f>C19*D19 / 100</f>
        <v>0</v>
      </c>
      <c r="F19">
        <f>IF(F18 &lt; 7, F18 +1,1)</f>
        <v>4</v>
      </c>
      <c r="G19" t="str">
        <f t="shared" si="0"/>
        <v/>
      </c>
    </row>
    <row r="20" spans="1:7">
      <c r="A20" s="1">
        <v>48659</v>
      </c>
      <c r="B20" t="s">
        <v>23</v>
      </c>
      <c r="C20">
        <v>29.5</v>
      </c>
      <c r="D20">
        <v>2.1</v>
      </c>
      <c r="E20" s="2">
        <f>C20*D20 / 100</f>
        <v>0.61950000000000005</v>
      </c>
      <c r="F20">
        <f>IF(F19 &lt; 7, F19 +1,1)</f>
        <v>5</v>
      </c>
      <c r="G20" t="str">
        <f t="shared" si="0"/>
        <v/>
      </c>
    </row>
    <row r="21" spans="1:7">
      <c r="A21" s="1">
        <v>48660</v>
      </c>
      <c r="B21" t="s">
        <v>9</v>
      </c>
      <c r="C21">
        <v>24.4</v>
      </c>
      <c r="D21">
        <v>10.1</v>
      </c>
      <c r="E21" s="2">
        <f>C21*D21 / 100</f>
        <v>2.4643999999999995</v>
      </c>
      <c r="F21">
        <f>IF(F20 &lt; 7, F20 +1,1)</f>
        <v>6</v>
      </c>
      <c r="G21" t="str">
        <f t="shared" si="0"/>
        <v/>
      </c>
    </row>
    <row r="22" spans="1:7">
      <c r="A22" s="1">
        <v>48661</v>
      </c>
      <c r="B22" t="s">
        <v>29</v>
      </c>
      <c r="C22">
        <v>15.6</v>
      </c>
      <c r="D22">
        <v>6.6</v>
      </c>
      <c r="E22" s="2">
        <f>C22*D22 / 100</f>
        <v>1.0295999999999998</v>
      </c>
      <c r="F22">
        <f>IF(F21 &lt; 7, F21 +1,1)</f>
        <v>7</v>
      </c>
      <c r="G22">
        <f t="shared" si="0"/>
        <v>134.5</v>
      </c>
    </row>
    <row r="23" spans="1:7">
      <c r="A23" s="1">
        <v>48662</v>
      </c>
      <c r="B23" t="s">
        <v>26</v>
      </c>
      <c r="C23">
        <v>22.7</v>
      </c>
      <c r="D23">
        <v>2.9</v>
      </c>
      <c r="E23" s="2">
        <f>C23*D23 / 100</f>
        <v>0.6583</v>
      </c>
      <c r="F23">
        <f>IF(F22 &lt; 7, F22 +1,1)</f>
        <v>1</v>
      </c>
      <c r="G23" t="str">
        <f t="shared" si="0"/>
        <v/>
      </c>
    </row>
    <row r="24" spans="1:7">
      <c r="A24" s="1">
        <v>48663</v>
      </c>
      <c r="B24" t="s">
        <v>33</v>
      </c>
      <c r="C24">
        <v>15.1</v>
      </c>
      <c r="D24">
        <v>0</v>
      </c>
      <c r="E24" s="2">
        <f>C24*D24 / 100</f>
        <v>0</v>
      </c>
      <c r="F24">
        <f>IF(F23 &lt; 7, F23 +1,1)</f>
        <v>2</v>
      </c>
      <c r="G24" t="str">
        <f t="shared" si="0"/>
        <v/>
      </c>
    </row>
    <row r="25" spans="1:7">
      <c r="A25" s="1">
        <v>48664</v>
      </c>
      <c r="B25" t="s">
        <v>36</v>
      </c>
      <c r="C25">
        <v>14.1</v>
      </c>
      <c r="D25">
        <v>0.8</v>
      </c>
      <c r="E25" s="2">
        <f>C25*D25 / 100</f>
        <v>0.11280000000000001</v>
      </c>
      <c r="F25">
        <f>IF(F24 &lt; 7, F24 +1,1)</f>
        <v>3</v>
      </c>
      <c r="G25" t="str">
        <f t="shared" si="0"/>
        <v/>
      </c>
    </row>
    <row r="26" spans="1:7">
      <c r="A26" s="1">
        <v>48665</v>
      </c>
      <c r="B26" t="s">
        <v>16</v>
      </c>
      <c r="C26">
        <v>24.9</v>
      </c>
      <c r="D26">
        <v>2.2000000000000002</v>
      </c>
      <c r="E26" s="2">
        <f>C26*D26 / 100</f>
        <v>0.54780000000000006</v>
      </c>
      <c r="F26">
        <f>IF(F25 &lt; 7, F25 +1,1)</f>
        <v>4</v>
      </c>
      <c r="G26" t="str">
        <f t="shared" si="0"/>
        <v/>
      </c>
    </row>
    <row r="27" spans="1:7">
      <c r="A27" s="1">
        <v>48666</v>
      </c>
      <c r="B27" t="s">
        <v>18</v>
      </c>
      <c r="C27">
        <v>14.8</v>
      </c>
      <c r="D27">
        <v>0</v>
      </c>
      <c r="E27" s="2">
        <f>C27*D27 / 100</f>
        <v>0</v>
      </c>
      <c r="F27">
        <f>IF(F26 &lt; 7, F26 +1,1)</f>
        <v>5</v>
      </c>
      <c r="G27" t="str">
        <f t="shared" si="0"/>
        <v/>
      </c>
    </row>
    <row r="28" spans="1:7">
      <c r="A28" s="1">
        <v>48667</v>
      </c>
      <c r="B28" t="s">
        <v>11</v>
      </c>
      <c r="C28">
        <v>18.8</v>
      </c>
      <c r="D28">
        <v>0</v>
      </c>
      <c r="E28" s="2">
        <f>C28*D28 / 100</f>
        <v>0</v>
      </c>
      <c r="F28">
        <f>IF(F27 &lt; 7, F27 +1,1)</f>
        <v>6</v>
      </c>
      <c r="G28" t="str">
        <f t="shared" si="0"/>
        <v/>
      </c>
    </row>
    <row r="29" spans="1:7">
      <c r="A29" s="1">
        <v>48668</v>
      </c>
      <c r="B29" t="s">
        <v>33</v>
      </c>
      <c r="C29">
        <v>29.3</v>
      </c>
      <c r="D29">
        <v>8</v>
      </c>
      <c r="E29" s="2">
        <f>C29*D29 / 100</f>
        <v>2.3439999999999999</v>
      </c>
      <c r="F29">
        <f>IF(F28 &lt; 7, F28 +1,1)</f>
        <v>7</v>
      </c>
      <c r="G29">
        <f t="shared" si="0"/>
        <v>139.69999999999999</v>
      </c>
    </row>
    <row r="30" spans="1:7">
      <c r="A30" s="1">
        <v>48669</v>
      </c>
      <c r="B30" t="s">
        <v>28</v>
      </c>
      <c r="C30">
        <v>29.4</v>
      </c>
      <c r="D30">
        <v>2.4</v>
      </c>
      <c r="E30" s="2">
        <f>C30*D30 / 100</f>
        <v>0.70559999999999989</v>
      </c>
      <c r="F30">
        <f>IF(F29 &lt; 7, F29 +1,1)</f>
        <v>1</v>
      </c>
      <c r="G30" t="str">
        <f t="shared" si="0"/>
        <v/>
      </c>
    </row>
    <row r="31" spans="1:7">
      <c r="A31" s="1">
        <v>48670</v>
      </c>
      <c r="B31" t="s">
        <v>24</v>
      </c>
      <c r="C31">
        <v>16.8</v>
      </c>
      <c r="D31">
        <v>2.9</v>
      </c>
      <c r="E31" s="2">
        <f>C31*D31 / 100</f>
        <v>0.48719999999999997</v>
      </c>
      <c r="F31">
        <f>IF(F30 &lt; 7, F30 +1,1)</f>
        <v>2</v>
      </c>
      <c r="G31" t="str">
        <f t="shared" si="0"/>
        <v/>
      </c>
    </row>
    <row r="32" spans="1:7">
      <c r="A32" s="1">
        <v>48671</v>
      </c>
      <c r="B32" t="s">
        <v>34</v>
      </c>
      <c r="C32">
        <v>21.4</v>
      </c>
      <c r="D32">
        <v>6.3</v>
      </c>
      <c r="E32" s="2">
        <f>C32*D32 / 100</f>
        <v>1.3481999999999998</v>
      </c>
      <c r="F32">
        <f>IF(F31 &lt; 7, F31 +1,1)</f>
        <v>3</v>
      </c>
      <c r="G32" t="str">
        <f t="shared" si="0"/>
        <v/>
      </c>
    </row>
    <row r="33" spans="1:7">
      <c r="A33" s="1">
        <v>48672</v>
      </c>
      <c r="B33" t="s">
        <v>16</v>
      </c>
      <c r="C33">
        <v>23.9</v>
      </c>
      <c r="D33">
        <v>0</v>
      </c>
      <c r="E33" s="2">
        <f>C33*D33 / 100</f>
        <v>0</v>
      </c>
      <c r="F33">
        <f>IF(F32 &lt; 7, F32 +1,1)</f>
        <v>4</v>
      </c>
      <c r="G33" t="str">
        <f t="shared" si="0"/>
        <v/>
      </c>
    </row>
    <row r="34" spans="1:7">
      <c r="A34" s="1">
        <v>48673</v>
      </c>
      <c r="B34" t="s">
        <v>34</v>
      </c>
      <c r="C34">
        <v>26.7</v>
      </c>
      <c r="D34">
        <v>0</v>
      </c>
      <c r="E34" s="2">
        <f>C34*D34 / 100</f>
        <v>0</v>
      </c>
      <c r="F34">
        <f>IF(F33 &lt; 7, F33 +1,1)</f>
        <v>5</v>
      </c>
      <c r="G34" t="str">
        <f t="shared" si="0"/>
        <v/>
      </c>
    </row>
    <row r="35" spans="1:7">
      <c r="A35" s="1">
        <v>48674</v>
      </c>
      <c r="B35" t="s">
        <v>16</v>
      </c>
      <c r="C35">
        <v>12.4</v>
      </c>
      <c r="D35">
        <v>0</v>
      </c>
      <c r="E35" s="2">
        <f>C35*D35 / 100</f>
        <v>0</v>
      </c>
      <c r="F35">
        <f>IF(F34 &lt; 7, F34 +1,1)</f>
        <v>6</v>
      </c>
      <c r="G35" t="str">
        <f t="shared" si="0"/>
        <v/>
      </c>
    </row>
    <row r="36" spans="1:7">
      <c r="A36" s="1">
        <v>48675</v>
      </c>
      <c r="B36" t="s">
        <v>34</v>
      </c>
      <c r="C36">
        <v>10.4</v>
      </c>
      <c r="D36">
        <v>10.7</v>
      </c>
      <c r="E36" s="2">
        <f>C36*D36 / 100</f>
        <v>1.1128</v>
      </c>
      <c r="F36">
        <f>IF(F35 &lt; 7, F35 +1,1)</f>
        <v>7</v>
      </c>
      <c r="G36">
        <f t="shared" si="0"/>
        <v>141</v>
      </c>
    </row>
    <row r="37" spans="1:7">
      <c r="A37" s="1">
        <v>48676</v>
      </c>
      <c r="B37" t="s">
        <v>26</v>
      </c>
      <c r="C37">
        <v>17.899999999999999</v>
      </c>
      <c r="D37">
        <v>0</v>
      </c>
      <c r="E37" s="2">
        <f>C37*D37 / 100</f>
        <v>0</v>
      </c>
      <c r="F37">
        <f>IF(F36 &lt; 7, F36 +1,1)</f>
        <v>1</v>
      </c>
      <c r="G37" t="str">
        <f t="shared" si="0"/>
        <v/>
      </c>
    </row>
    <row r="38" spans="1:7">
      <c r="A38" s="1">
        <v>48677</v>
      </c>
      <c r="B38" t="s">
        <v>18</v>
      </c>
      <c r="C38">
        <v>17.399999999999999</v>
      </c>
      <c r="D38">
        <v>1.6</v>
      </c>
      <c r="E38" s="2">
        <f>C38*D38 / 100</f>
        <v>0.27839999999999998</v>
      </c>
      <c r="F38">
        <f>IF(F37 &lt; 7, F37 +1,1)</f>
        <v>2</v>
      </c>
      <c r="G38" t="str">
        <f t="shared" si="0"/>
        <v/>
      </c>
    </row>
    <row r="39" spans="1:7">
      <c r="A39" s="1">
        <v>48678</v>
      </c>
      <c r="B39" t="s">
        <v>9</v>
      </c>
      <c r="C39">
        <v>29.4</v>
      </c>
      <c r="D39">
        <v>21.7</v>
      </c>
      <c r="E39" s="2">
        <f>C39*D39 / 100</f>
        <v>6.3797999999999995</v>
      </c>
      <c r="F39">
        <f>IF(F38 &lt; 7, F38 +1,1)</f>
        <v>3</v>
      </c>
      <c r="G39" t="str">
        <f t="shared" si="0"/>
        <v/>
      </c>
    </row>
    <row r="40" spans="1:7">
      <c r="A40" s="1">
        <v>48679</v>
      </c>
      <c r="B40" t="s">
        <v>36</v>
      </c>
      <c r="C40">
        <v>22.9</v>
      </c>
      <c r="D40">
        <v>26.9</v>
      </c>
      <c r="E40" s="2">
        <f>C40*D40 / 100</f>
        <v>6.160099999999999</v>
      </c>
      <c r="F40">
        <f>IF(F39 &lt; 7, F39 +1,1)</f>
        <v>4</v>
      </c>
      <c r="G40" t="str">
        <f t="shared" si="0"/>
        <v/>
      </c>
    </row>
    <row r="41" spans="1:7">
      <c r="A41" s="1">
        <v>48680</v>
      </c>
      <c r="B41" t="s">
        <v>36</v>
      </c>
      <c r="C41">
        <v>18.899999999999999</v>
      </c>
      <c r="D41">
        <v>11.3</v>
      </c>
      <c r="E41" s="2">
        <f>C41*D41 / 100</f>
        <v>2.1356999999999999</v>
      </c>
      <c r="F41">
        <f>IF(F40 &lt; 7, F40 +1,1)</f>
        <v>5</v>
      </c>
      <c r="G41" t="str">
        <f t="shared" si="0"/>
        <v/>
      </c>
    </row>
    <row r="42" spans="1:7">
      <c r="A42" s="1">
        <v>48681</v>
      </c>
      <c r="B42" t="s">
        <v>10</v>
      </c>
      <c r="C42">
        <v>23.5</v>
      </c>
      <c r="D42">
        <v>0</v>
      </c>
      <c r="E42" s="2">
        <f>C42*D42 / 100</f>
        <v>0</v>
      </c>
      <c r="F42">
        <f>IF(F41 &lt; 7, F41 +1,1)</f>
        <v>6</v>
      </c>
      <c r="G42" t="str">
        <f t="shared" si="0"/>
        <v/>
      </c>
    </row>
    <row r="43" spans="1:7">
      <c r="A43" s="1">
        <v>48682</v>
      </c>
      <c r="B43" t="s">
        <v>29</v>
      </c>
      <c r="C43">
        <v>13.4</v>
      </c>
      <c r="D43">
        <v>14.2</v>
      </c>
      <c r="E43" s="2">
        <f>C43*D43 / 100</f>
        <v>1.9028</v>
      </c>
      <c r="F43">
        <f>IF(F42 &lt; 7, F42 +1,1)</f>
        <v>7</v>
      </c>
      <c r="G43">
        <f t="shared" si="0"/>
        <v>143.4</v>
      </c>
    </row>
    <row r="44" spans="1:7">
      <c r="A44" s="1">
        <v>48683</v>
      </c>
      <c r="B44" t="s">
        <v>18</v>
      </c>
      <c r="C44">
        <v>18.899999999999999</v>
      </c>
      <c r="D44">
        <v>1.5</v>
      </c>
      <c r="E44" s="2">
        <f>C44*D44 / 100</f>
        <v>0.28349999999999997</v>
      </c>
      <c r="F44">
        <f>IF(F43 &lt; 7, F43 +1,1)</f>
        <v>1</v>
      </c>
      <c r="G44" t="str">
        <f t="shared" si="0"/>
        <v/>
      </c>
    </row>
    <row r="45" spans="1:7">
      <c r="A45" s="1">
        <v>48684</v>
      </c>
      <c r="B45" t="s">
        <v>23</v>
      </c>
      <c r="C45">
        <v>13.5</v>
      </c>
      <c r="D45">
        <v>1.4</v>
      </c>
      <c r="E45" s="2">
        <f>C45*D45 / 100</f>
        <v>0.18899999999999997</v>
      </c>
      <c r="F45">
        <f>IF(F44 &lt; 7, F44 +1,1)</f>
        <v>2</v>
      </c>
      <c r="G45" t="str">
        <f t="shared" si="0"/>
        <v/>
      </c>
    </row>
    <row r="46" spans="1:7">
      <c r="A46" s="1">
        <v>48685</v>
      </c>
      <c r="B46" t="s">
        <v>10</v>
      </c>
      <c r="C46">
        <v>17.7</v>
      </c>
      <c r="D46">
        <v>5.9</v>
      </c>
      <c r="E46" s="2">
        <f>C46*D46 / 100</f>
        <v>1.0443</v>
      </c>
      <c r="F46">
        <f>IF(F45 &lt; 7, F45 +1,1)</f>
        <v>3</v>
      </c>
      <c r="G46" t="str">
        <f t="shared" si="0"/>
        <v/>
      </c>
    </row>
    <row r="47" spans="1:7">
      <c r="A47" s="1">
        <v>48686</v>
      </c>
      <c r="B47" t="s">
        <v>9</v>
      </c>
      <c r="C47">
        <v>24.7</v>
      </c>
      <c r="D47">
        <v>0</v>
      </c>
      <c r="E47" s="2">
        <f>C47*D47 / 100</f>
        <v>0</v>
      </c>
      <c r="F47">
        <f>IF(F46 &lt; 7, F46 +1,1)</f>
        <v>4</v>
      </c>
      <c r="G47" t="str">
        <f t="shared" si="0"/>
        <v/>
      </c>
    </row>
    <row r="48" spans="1:7">
      <c r="A48" s="1">
        <v>48687</v>
      </c>
      <c r="B48" t="s">
        <v>29</v>
      </c>
      <c r="C48">
        <v>25.6</v>
      </c>
      <c r="D48">
        <v>1.9</v>
      </c>
      <c r="E48" s="2">
        <f>C48*D48 / 100</f>
        <v>0.4864</v>
      </c>
      <c r="F48">
        <f>IF(F47 &lt; 7, F47 +1,1)</f>
        <v>5</v>
      </c>
      <c r="G48" t="str">
        <f t="shared" si="0"/>
        <v/>
      </c>
    </row>
    <row r="49" spans="1:7">
      <c r="A49" s="1">
        <v>48688</v>
      </c>
      <c r="B49" t="s">
        <v>24</v>
      </c>
      <c r="C49">
        <v>18.399999999999999</v>
      </c>
      <c r="D49">
        <v>0</v>
      </c>
      <c r="E49" s="2">
        <f>C49*D49 / 100</f>
        <v>0</v>
      </c>
      <c r="F49">
        <f>IF(F48 &lt; 7, F48 +1,1)</f>
        <v>6</v>
      </c>
      <c r="G49" t="str">
        <f t="shared" si="0"/>
        <v/>
      </c>
    </row>
    <row r="50" spans="1:7">
      <c r="A50" s="1">
        <v>48689</v>
      </c>
      <c r="B50" t="s">
        <v>6</v>
      </c>
      <c r="C50">
        <v>27</v>
      </c>
      <c r="D50">
        <v>0</v>
      </c>
      <c r="E50" s="2">
        <f>C50*D50 / 100</f>
        <v>0</v>
      </c>
      <c r="F50">
        <f>IF(F49 &lt; 7, F49 +1,1)</f>
        <v>7</v>
      </c>
      <c r="G50">
        <f t="shared" si="0"/>
        <v>145.80000000000001</v>
      </c>
    </row>
    <row r="51" spans="1:7">
      <c r="A51" s="1">
        <v>48690</v>
      </c>
      <c r="B51" t="s">
        <v>21</v>
      </c>
      <c r="C51">
        <v>16</v>
      </c>
      <c r="D51">
        <v>0</v>
      </c>
      <c r="E51" s="2">
        <f>C51*D51 / 100</f>
        <v>0</v>
      </c>
      <c r="F51">
        <f>IF(F50 &lt; 7, F50 +1,1)</f>
        <v>1</v>
      </c>
      <c r="G51" t="str">
        <f t="shared" si="0"/>
        <v/>
      </c>
    </row>
    <row r="52" spans="1:7">
      <c r="A52" s="1">
        <v>48691</v>
      </c>
      <c r="B52" t="s">
        <v>16</v>
      </c>
      <c r="C52">
        <v>18.600000000000001</v>
      </c>
      <c r="D52">
        <v>7.4</v>
      </c>
      <c r="E52" s="2">
        <f>C52*D52 / 100</f>
        <v>1.3764000000000001</v>
      </c>
      <c r="F52">
        <f>IF(F51 &lt; 7, F51 +1,1)</f>
        <v>2</v>
      </c>
      <c r="G52" t="str">
        <f t="shared" si="0"/>
        <v/>
      </c>
    </row>
    <row r="53" spans="1:7">
      <c r="A53" s="1">
        <v>48692</v>
      </c>
      <c r="B53" t="s">
        <v>21</v>
      </c>
      <c r="C53">
        <v>12.7</v>
      </c>
      <c r="D53">
        <v>30.8</v>
      </c>
      <c r="E53" s="2">
        <f>C53*D53 / 100</f>
        <v>3.9115999999999995</v>
      </c>
      <c r="F53">
        <f>IF(F52 &lt; 7, F52 +1,1)</f>
        <v>3</v>
      </c>
      <c r="G53" t="str">
        <f t="shared" si="0"/>
        <v/>
      </c>
    </row>
    <row r="54" spans="1:7">
      <c r="A54" s="1">
        <v>48693</v>
      </c>
      <c r="B54" t="s">
        <v>36</v>
      </c>
      <c r="C54">
        <v>14.5</v>
      </c>
      <c r="D54">
        <v>0</v>
      </c>
      <c r="E54" s="2">
        <f>C54*D54 / 100</f>
        <v>0</v>
      </c>
      <c r="F54">
        <f>IF(F53 &lt; 7, F53 +1,1)</f>
        <v>4</v>
      </c>
      <c r="G54" t="str">
        <f t="shared" si="0"/>
        <v/>
      </c>
    </row>
    <row r="55" spans="1:7">
      <c r="A55" s="1">
        <v>48694</v>
      </c>
      <c r="B55" t="s">
        <v>13</v>
      </c>
      <c r="C55">
        <v>12.2</v>
      </c>
      <c r="D55">
        <v>3.5</v>
      </c>
      <c r="E55" s="2">
        <f>C55*D55 / 100</f>
        <v>0.42699999999999994</v>
      </c>
      <c r="F55">
        <f>IF(F54 &lt; 7, F54 +1,1)</f>
        <v>5</v>
      </c>
      <c r="G55" t="str">
        <f t="shared" si="0"/>
        <v/>
      </c>
    </row>
    <row r="56" spans="1:7">
      <c r="A56" s="1">
        <v>48695</v>
      </c>
      <c r="B56" t="s">
        <v>35</v>
      </c>
      <c r="C56">
        <v>19.899999999999999</v>
      </c>
      <c r="D56">
        <v>0</v>
      </c>
      <c r="E56" s="2">
        <f>C56*D56 / 100</f>
        <v>0</v>
      </c>
      <c r="F56">
        <f>IF(F55 &lt; 7, F55 +1,1)</f>
        <v>6</v>
      </c>
      <c r="G56" t="str">
        <f t="shared" si="0"/>
        <v/>
      </c>
    </row>
    <row r="57" spans="1:7">
      <c r="A57" s="1">
        <v>48696</v>
      </c>
      <c r="B57" t="s">
        <v>12</v>
      </c>
      <c r="C57">
        <v>28.1</v>
      </c>
      <c r="D57">
        <v>5.3</v>
      </c>
      <c r="E57" s="2">
        <f>C57*D57 / 100</f>
        <v>1.4893000000000001</v>
      </c>
      <c r="F57">
        <f>IF(F56 &lt; 7, F56 +1,1)</f>
        <v>7</v>
      </c>
      <c r="G57">
        <f t="shared" si="0"/>
        <v>122</v>
      </c>
    </row>
    <row r="58" spans="1:7">
      <c r="A58" s="1">
        <v>48697</v>
      </c>
      <c r="B58" t="s">
        <v>21</v>
      </c>
      <c r="C58">
        <v>27.7</v>
      </c>
      <c r="D58">
        <v>45.3</v>
      </c>
      <c r="E58" s="2">
        <f>C58*D58 / 100</f>
        <v>12.5481</v>
      </c>
      <c r="F58">
        <f>IF(F57 &lt; 7, F57 +1,1)</f>
        <v>1</v>
      </c>
      <c r="G58" t="str">
        <f t="shared" si="0"/>
        <v/>
      </c>
    </row>
    <row r="59" spans="1:7">
      <c r="A59" s="1">
        <v>48698</v>
      </c>
      <c r="B59" t="s">
        <v>10</v>
      </c>
      <c r="C59">
        <v>14.6</v>
      </c>
      <c r="D59">
        <v>5.2</v>
      </c>
      <c r="E59" s="2">
        <f>C59*D59 / 100</f>
        <v>0.75919999999999999</v>
      </c>
      <c r="F59">
        <f>IF(F58 &lt; 7, F58 +1,1)</f>
        <v>2</v>
      </c>
      <c r="G59" t="str">
        <f t="shared" si="0"/>
        <v/>
      </c>
    </row>
    <row r="60" spans="1:7">
      <c r="A60" s="1">
        <v>48699</v>
      </c>
      <c r="B60" t="s">
        <v>29</v>
      </c>
      <c r="C60">
        <v>10.8</v>
      </c>
      <c r="D60">
        <v>0</v>
      </c>
      <c r="E60" s="2">
        <f>C60*D60 / 100</f>
        <v>0</v>
      </c>
      <c r="F60">
        <f>IF(F59 &lt; 7, F59 +1,1)</f>
        <v>3</v>
      </c>
      <c r="G60" t="str">
        <f t="shared" si="0"/>
        <v/>
      </c>
    </row>
    <row r="61" spans="1:7">
      <c r="A61" s="1">
        <v>48700</v>
      </c>
      <c r="B61" t="s">
        <v>14</v>
      </c>
      <c r="C61">
        <v>12.4</v>
      </c>
      <c r="D61">
        <v>3.2</v>
      </c>
      <c r="E61" s="2">
        <f>C61*D61 / 100</f>
        <v>0.39680000000000004</v>
      </c>
      <c r="F61">
        <f>IF(F60 &lt; 7, F60 +1,1)</f>
        <v>4</v>
      </c>
      <c r="G61" t="str">
        <f t="shared" si="0"/>
        <v/>
      </c>
    </row>
    <row r="62" spans="1:7">
      <c r="A62" s="1">
        <v>48701</v>
      </c>
      <c r="B62" t="s">
        <v>21</v>
      </c>
      <c r="C62">
        <v>25.2</v>
      </c>
      <c r="D62">
        <v>0</v>
      </c>
      <c r="E62" s="2">
        <f>C62*D62 / 100</f>
        <v>0</v>
      </c>
      <c r="F62">
        <f>IF(F61 &lt; 7, F61 +1,1)</f>
        <v>5</v>
      </c>
      <c r="G62" t="str">
        <f t="shared" si="0"/>
        <v/>
      </c>
    </row>
    <row r="63" spans="1:7">
      <c r="A63" s="1">
        <v>48702</v>
      </c>
      <c r="B63" t="s">
        <v>21</v>
      </c>
      <c r="C63">
        <v>28.9</v>
      </c>
      <c r="D63">
        <v>0</v>
      </c>
      <c r="E63" s="2">
        <f>C63*D63 / 100</f>
        <v>0</v>
      </c>
      <c r="F63">
        <f>IF(F62 &lt; 7, F62 +1,1)</f>
        <v>6</v>
      </c>
      <c r="G63" t="str">
        <f t="shared" si="0"/>
        <v/>
      </c>
    </row>
    <row r="64" spans="1:7">
      <c r="A64" s="1">
        <v>48703</v>
      </c>
      <c r="B64" t="s">
        <v>36</v>
      </c>
      <c r="C64">
        <v>13.2</v>
      </c>
      <c r="D64">
        <v>23.3</v>
      </c>
      <c r="E64" s="2">
        <f>C64*D64 / 100</f>
        <v>3.0756000000000001</v>
      </c>
      <c r="F64">
        <f>IF(F63 &lt; 7, F63 +1,1)</f>
        <v>7</v>
      </c>
      <c r="G64">
        <f t="shared" si="0"/>
        <v>132.79999999999998</v>
      </c>
    </row>
    <row r="65" spans="1:7">
      <c r="A65" s="1">
        <v>48704</v>
      </c>
      <c r="B65" t="s">
        <v>21</v>
      </c>
      <c r="C65">
        <v>27.9</v>
      </c>
      <c r="D65">
        <v>0</v>
      </c>
      <c r="E65" s="2">
        <f>C65*D65 / 100</f>
        <v>0</v>
      </c>
      <c r="F65">
        <f>IF(F64 &lt; 7, F64 +1,1)</f>
        <v>1</v>
      </c>
      <c r="G65" t="str">
        <f t="shared" si="0"/>
        <v/>
      </c>
    </row>
    <row r="66" spans="1:7">
      <c r="A66" s="1">
        <v>48705</v>
      </c>
      <c r="B66" t="s">
        <v>16</v>
      </c>
      <c r="C66">
        <v>10.9</v>
      </c>
      <c r="D66">
        <v>3.5</v>
      </c>
      <c r="E66" s="2">
        <f>C66*D66 / 100</f>
        <v>0.38150000000000001</v>
      </c>
      <c r="F66">
        <f>IF(F65 &lt; 7, F65 +1,1)</f>
        <v>2</v>
      </c>
      <c r="G66" t="str">
        <f t="shared" si="0"/>
        <v/>
      </c>
    </row>
    <row r="67" spans="1:7">
      <c r="A67" s="1">
        <v>48706</v>
      </c>
      <c r="B67" t="s">
        <v>33</v>
      </c>
      <c r="C67">
        <v>25.5</v>
      </c>
      <c r="D67">
        <v>20</v>
      </c>
      <c r="E67" s="2">
        <f>C67*D67 / 100</f>
        <v>5.0999999999999996</v>
      </c>
      <c r="F67">
        <f>IF(F66 &lt; 7, F66 +1,1)</f>
        <v>3</v>
      </c>
      <c r="G67" t="str">
        <f t="shared" si="0"/>
        <v/>
      </c>
    </row>
    <row r="68" spans="1:7">
      <c r="A68" s="1">
        <v>48707</v>
      </c>
      <c r="B68" t="s">
        <v>26</v>
      </c>
      <c r="C68">
        <v>26</v>
      </c>
      <c r="D68">
        <v>0</v>
      </c>
      <c r="E68" s="2">
        <f>C68*D68 / 100</f>
        <v>0</v>
      </c>
      <c r="F68">
        <f>IF(F67 &lt; 7, F67 +1,1)</f>
        <v>4</v>
      </c>
      <c r="G68" t="str">
        <f t="shared" si="0"/>
        <v/>
      </c>
    </row>
    <row r="69" spans="1:7">
      <c r="A69" s="1">
        <v>48708</v>
      </c>
      <c r="B69" t="s">
        <v>35</v>
      </c>
      <c r="C69">
        <v>25.8</v>
      </c>
      <c r="D69">
        <v>0.1</v>
      </c>
      <c r="E69" s="2">
        <f>C69*D69 / 100</f>
        <v>2.58E-2</v>
      </c>
      <c r="F69">
        <f>IF(F68 &lt; 7, F68 +1,1)</f>
        <v>5</v>
      </c>
      <c r="G69" t="str">
        <f t="shared" si="0"/>
        <v/>
      </c>
    </row>
    <row r="70" spans="1:7">
      <c r="A70" s="1">
        <v>48709</v>
      </c>
      <c r="B70" t="s">
        <v>11</v>
      </c>
      <c r="C70">
        <v>17.5</v>
      </c>
      <c r="D70">
        <v>0.5</v>
      </c>
      <c r="E70" s="2">
        <f>C70*D70 / 100</f>
        <v>8.7499999999999994E-2</v>
      </c>
      <c r="F70">
        <f>IF(F69 &lt; 7, F69 +1,1)</f>
        <v>6</v>
      </c>
      <c r="G70" t="str">
        <f t="shared" si="0"/>
        <v/>
      </c>
    </row>
    <row r="71" spans="1:7">
      <c r="A71" s="1">
        <v>48710</v>
      </c>
      <c r="B71" t="s">
        <v>21</v>
      </c>
      <c r="C71">
        <v>17.8</v>
      </c>
      <c r="D71">
        <v>3.3</v>
      </c>
      <c r="E71" s="2">
        <f>C71*D71 / 100</f>
        <v>0.58740000000000003</v>
      </c>
      <c r="F71">
        <f>IF(F70 &lt; 7, F70 +1,1)</f>
        <v>7</v>
      </c>
      <c r="G71">
        <f t="shared" si="0"/>
        <v>151.4</v>
      </c>
    </row>
    <row r="72" spans="1:7">
      <c r="A72" s="1">
        <v>48711</v>
      </c>
      <c r="B72" t="s">
        <v>21</v>
      </c>
      <c r="C72">
        <v>17.5</v>
      </c>
      <c r="D72">
        <v>0</v>
      </c>
      <c r="E72" s="2">
        <f>C72*D72 / 100</f>
        <v>0</v>
      </c>
      <c r="F72">
        <f>IF(F71 &lt; 7, F71 +1,1)</f>
        <v>1</v>
      </c>
      <c r="G72" t="str">
        <f t="shared" si="0"/>
        <v/>
      </c>
    </row>
    <row r="73" spans="1:7">
      <c r="A73" s="1">
        <v>48712</v>
      </c>
      <c r="B73" t="s">
        <v>19</v>
      </c>
      <c r="C73">
        <v>16.100000000000001</v>
      </c>
      <c r="D73">
        <v>0</v>
      </c>
      <c r="E73" s="2">
        <f>C73*D73 / 100</f>
        <v>0</v>
      </c>
      <c r="F73">
        <f>IF(F72 &lt; 7, F72 +1,1)</f>
        <v>2</v>
      </c>
      <c r="G73" t="str">
        <f t="shared" ref="G73:G136" si="1">IF(F73=7, SUM(C67:C73), "")</f>
        <v/>
      </c>
    </row>
    <row r="74" spans="1:7">
      <c r="A74" s="1">
        <v>48713</v>
      </c>
      <c r="B74" t="s">
        <v>10</v>
      </c>
      <c r="C74">
        <v>11.8</v>
      </c>
      <c r="D74">
        <v>7</v>
      </c>
      <c r="E74" s="2">
        <f>C74*D74 / 100</f>
        <v>0.82600000000000007</v>
      </c>
      <c r="F74">
        <f>IF(F73 &lt; 7, F73 +1,1)</f>
        <v>3</v>
      </c>
      <c r="G74" t="str">
        <f t="shared" si="1"/>
        <v/>
      </c>
    </row>
    <row r="75" spans="1:7">
      <c r="A75" s="1">
        <v>48714</v>
      </c>
      <c r="B75" t="s">
        <v>33</v>
      </c>
      <c r="C75">
        <v>26.2</v>
      </c>
      <c r="D75">
        <v>0</v>
      </c>
      <c r="E75" s="2">
        <f>C75*D75 / 100</f>
        <v>0</v>
      </c>
      <c r="F75">
        <f>IF(F74 &lt; 7, F74 +1,1)</f>
        <v>4</v>
      </c>
      <c r="G75" t="str">
        <f t="shared" si="1"/>
        <v/>
      </c>
    </row>
    <row r="76" spans="1:7">
      <c r="A76" s="1">
        <v>48715</v>
      </c>
      <c r="B76" t="s">
        <v>30</v>
      </c>
      <c r="C76">
        <v>28.8</v>
      </c>
      <c r="D76">
        <v>2.9</v>
      </c>
      <c r="E76" s="2">
        <f>C76*D76 / 100</f>
        <v>0.83519999999999994</v>
      </c>
      <c r="F76">
        <f>IF(F75 &lt; 7, F75 +1,1)</f>
        <v>5</v>
      </c>
      <c r="G76" t="str">
        <f t="shared" si="1"/>
        <v/>
      </c>
    </row>
    <row r="77" spans="1:7">
      <c r="A77" s="1">
        <v>48716</v>
      </c>
      <c r="B77" t="s">
        <v>21</v>
      </c>
      <c r="C77">
        <v>18.7</v>
      </c>
      <c r="D77">
        <v>0</v>
      </c>
      <c r="E77" s="2">
        <f>C77*D77 / 100</f>
        <v>0</v>
      </c>
      <c r="F77">
        <f>IF(F76 &lt; 7, F76 +1,1)</f>
        <v>6</v>
      </c>
      <c r="G77" t="str">
        <f t="shared" si="1"/>
        <v/>
      </c>
    </row>
    <row r="78" spans="1:7">
      <c r="A78" s="1">
        <v>48717</v>
      </c>
      <c r="B78" t="s">
        <v>29</v>
      </c>
      <c r="C78">
        <v>10.3</v>
      </c>
      <c r="D78">
        <v>9.1999999999999993</v>
      </c>
      <c r="E78" s="2">
        <f>C78*D78 / 100</f>
        <v>0.9476</v>
      </c>
      <c r="F78">
        <f>IF(F77 &lt; 7, F77 +1,1)</f>
        <v>7</v>
      </c>
      <c r="G78">
        <f t="shared" si="1"/>
        <v>129.4</v>
      </c>
    </row>
    <row r="79" spans="1:7">
      <c r="A79" s="1">
        <v>48718</v>
      </c>
      <c r="B79" t="s">
        <v>30</v>
      </c>
      <c r="C79">
        <v>29.8</v>
      </c>
      <c r="D79">
        <v>3.4</v>
      </c>
      <c r="E79" s="2">
        <f>C79*D79 / 100</f>
        <v>1.0131999999999999</v>
      </c>
      <c r="F79">
        <f>IF(F78 &lt; 7, F78 +1,1)</f>
        <v>1</v>
      </c>
      <c r="G79" t="str">
        <f t="shared" si="1"/>
        <v/>
      </c>
    </row>
    <row r="80" spans="1:7">
      <c r="A80" s="1">
        <v>48719</v>
      </c>
      <c r="B80" t="s">
        <v>21</v>
      </c>
      <c r="C80">
        <v>26.2</v>
      </c>
      <c r="D80">
        <v>32.299999999999997</v>
      </c>
      <c r="E80" s="2">
        <f>C80*D80 / 100</f>
        <v>8.4625999999999983</v>
      </c>
      <c r="F80">
        <f>IF(F79 &lt; 7, F79 +1,1)</f>
        <v>2</v>
      </c>
      <c r="G80" t="str">
        <f t="shared" si="1"/>
        <v/>
      </c>
    </row>
    <row r="81" spans="1:7">
      <c r="A81" s="1">
        <v>48720</v>
      </c>
      <c r="B81" t="s">
        <v>36</v>
      </c>
      <c r="C81">
        <v>13.8</v>
      </c>
      <c r="D81">
        <v>15.9</v>
      </c>
      <c r="E81" s="2">
        <f>C81*D81 / 100</f>
        <v>2.1942000000000004</v>
      </c>
      <c r="F81">
        <f>IF(F80 &lt; 7, F80 +1,1)</f>
        <v>3</v>
      </c>
      <c r="G81" t="str">
        <f t="shared" si="1"/>
        <v/>
      </c>
    </row>
    <row r="82" spans="1:7">
      <c r="A82" s="1">
        <v>48721</v>
      </c>
      <c r="B82" t="s">
        <v>36</v>
      </c>
      <c r="C82">
        <v>22.4</v>
      </c>
      <c r="D82">
        <v>24.5</v>
      </c>
      <c r="E82" s="2">
        <f>C82*D82 / 100</f>
        <v>5.4879999999999995</v>
      </c>
      <c r="F82">
        <f>IF(F81 &lt; 7, F81 +1,1)</f>
        <v>4</v>
      </c>
      <c r="G82" t="str">
        <f t="shared" si="1"/>
        <v/>
      </c>
    </row>
    <row r="83" spans="1:7">
      <c r="A83" s="1">
        <v>48722</v>
      </c>
      <c r="B83" t="s">
        <v>36</v>
      </c>
      <c r="C83">
        <v>24.5</v>
      </c>
      <c r="D83">
        <v>0.9</v>
      </c>
      <c r="E83" s="2">
        <f>C83*D83 / 100</f>
        <v>0.2205</v>
      </c>
      <c r="F83">
        <f>IF(F82 &lt; 7, F82 +1,1)</f>
        <v>5</v>
      </c>
      <c r="G83" t="str">
        <f t="shared" si="1"/>
        <v/>
      </c>
    </row>
    <row r="84" spans="1:7">
      <c r="A84" s="1">
        <v>48723</v>
      </c>
      <c r="B84" t="s">
        <v>5</v>
      </c>
      <c r="C84">
        <v>23.1</v>
      </c>
      <c r="D84">
        <v>0.3</v>
      </c>
      <c r="E84" s="2">
        <f>C84*D84 / 100</f>
        <v>6.93E-2</v>
      </c>
      <c r="F84">
        <f>IF(F83 &lt; 7, F83 +1,1)</f>
        <v>6</v>
      </c>
      <c r="G84" t="str">
        <f t="shared" si="1"/>
        <v/>
      </c>
    </row>
    <row r="85" spans="1:7">
      <c r="A85" s="1">
        <v>48724</v>
      </c>
      <c r="B85" t="s">
        <v>35</v>
      </c>
      <c r="C85">
        <v>29.8</v>
      </c>
      <c r="D85">
        <v>0</v>
      </c>
      <c r="E85" s="2">
        <f>C85*D85 / 100</f>
        <v>0</v>
      </c>
      <c r="F85">
        <f>IF(F84 &lt; 7, F84 +1,1)</f>
        <v>7</v>
      </c>
      <c r="G85">
        <f t="shared" si="1"/>
        <v>169.6</v>
      </c>
    </row>
    <row r="86" spans="1:7">
      <c r="A86" s="1">
        <v>48725</v>
      </c>
      <c r="B86" t="s">
        <v>15</v>
      </c>
      <c r="C86">
        <v>11.2</v>
      </c>
      <c r="D86">
        <v>0</v>
      </c>
      <c r="E86" s="2">
        <f>C86*D86 / 100</f>
        <v>0</v>
      </c>
      <c r="F86">
        <f>IF(F85 &lt; 7, F85 +1,1)</f>
        <v>1</v>
      </c>
      <c r="G86" t="str">
        <f t="shared" si="1"/>
        <v/>
      </c>
    </row>
    <row r="87" spans="1:7">
      <c r="A87" s="1">
        <v>48726</v>
      </c>
      <c r="B87" t="s">
        <v>36</v>
      </c>
      <c r="C87">
        <v>18.7</v>
      </c>
      <c r="D87">
        <v>0</v>
      </c>
      <c r="E87" s="2">
        <f>C87*D87 / 100</f>
        <v>0</v>
      </c>
      <c r="F87">
        <f>IF(F86 &lt; 7, F86 +1,1)</f>
        <v>2</v>
      </c>
      <c r="G87" t="str">
        <f t="shared" si="1"/>
        <v/>
      </c>
    </row>
    <row r="88" spans="1:7">
      <c r="A88" s="1">
        <v>48727</v>
      </c>
      <c r="B88" t="s">
        <v>29</v>
      </c>
      <c r="C88">
        <v>11.4</v>
      </c>
      <c r="D88">
        <v>8.1</v>
      </c>
      <c r="E88" s="2">
        <f>C88*D88 / 100</f>
        <v>0.9234</v>
      </c>
      <c r="F88">
        <f>IF(F87 &lt; 7, F87 +1,1)</f>
        <v>3</v>
      </c>
      <c r="G88" t="str">
        <f t="shared" si="1"/>
        <v/>
      </c>
    </row>
    <row r="89" spans="1:7">
      <c r="A89" s="1">
        <v>48728</v>
      </c>
      <c r="B89" t="s">
        <v>19</v>
      </c>
      <c r="C89">
        <v>21.3</v>
      </c>
      <c r="D89">
        <v>13.4</v>
      </c>
      <c r="E89" s="2">
        <f>C89*D89 / 100</f>
        <v>2.8542000000000001</v>
      </c>
      <c r="F89">
        <f>IF(F88 &lt; 7, F88 +1,1)</f>
        <v>4</v>
      </c>
      <c r="G89" t="str">
        <f t="shared" si="1"/>
        <v/>
      </c>
    </row>
    <row r="90" spans="1:7">
      <c r="A90" s="1">
        <v>48729</v>
      </c>
      <c r="B90" t="s">
        <v>10</v>
      </c>
      <c r="C90">
        <v>24.5</v>
      </c>
      <c r="D90">
        <v>2.6</v>
      </c>
      <c r="E90" s="2">
        <f>C90*D90 / 100</f>
        <v>0.63700000000000001</v>
      </c>
      <c r="F90">
        <f>IF(F89 &lt; 7, F89 +1,1)</f>
        <v>5</v>
      </c>
      <c r="G90" t="str">
        <f t="shared" si="1"/>
        <v/>
      </c>
    </row>
    <row r="91" spans="1:7">
      <c r="A91" s="1">
        <v>48730</v>
      </c>
      <c r="B91" t="s">
        <v>36</v>
      </c>
      <c r="C91">
        <v>20</v>
      </c>
      <c r="D91">
        <v>13.2</v>
      </c>
      <c r="E91" s="2">
        <f>C91*D91 / 100</f>
        <v>2.64</v>
      </c>
      <c r="F91">
        <f>IF(F90 &lt; 7, F90 +1,1)</f>
        <v>6</v>
      </c>
      <c r="G91" t="str">
        <f t="shared" si="1"/>
        <v/>
      </c>
    </row>
    <row r="92" spans="1:7">
      <c r="A92" s="1">
        <v>48731</v>
      </c>
      <c r="B92" t="s">
        <v>21</v>
      </c>
      <c r="C92">
        <v>28.4</v>
      </c>
      <c r="D92">
        <v>12</v>
      </c>
      <c r="E92" s="2">
        <f>C92*D92 / 100</f>
        <v>3.4079999999999995</v>
      </c>
      <c r="F92">
        <f>IF(F91 &lt; 7, F91 +1,1)</f>
        <v>7</v>
      </c>
      <c r="G92">
        <f t="shared" si="1"/>
        <v>135.5</v>
      </c>
    </row>
    <row r="93" spans="1:7">
      <c r="A93" s="1">
        <v>48732</v>
      </c>
      <c r="B93" t="s">
        <v>9</v>
      </c>
      <c r="C93">
        <v>14.8</v>
      </c>
      <c r="D93">
        <v>10.1</v>
      </c>
      <c r="E93" s="2">
        <f>C93*D93 / 100</f>
        <v>1.4947999999999999</v>
      </c>
      <c r="F93">
        <f>IF(F92 &lt; 7, F92 +1,1)</f>
        <v>1</v>
      </c>
      <c r="G93" t="str">
        <f t="shared" si="1"/>
        <v/>
      </c>
    </row>
    <row r="94" spans="1:7">
      <c r="A94" s="1">
        <v>48733</v>
      </c>
      <c r="B94" t="s">
        <v>25</v>
      </c>
      <c r="C94">
        <v>27.9</v>
      </c>
      <c r="D94">
        <v>0.6</v>
      </c>
      <c r="E94" s="2">
        <f>C94*D94 / 100</f>
        <v>0.16739999999999999</v>
      </c>
      <c r="F94">
        <f>IF(F93 &lt; 7, F93 +1,1)</f>
        <v>2</v>
      </c>
      <c r="G94" t="str">
        <f t="shared" si="1"/>
        <v/>
      </c>
    </row>
    <row r="95" spans="1:7">
      <c r="A95" s="1">
        <v>48734</v>
      </c>
      <c r="B95" t="s">
        <v>34</v>
      </c>
      <c r="C95">
        <v>19.899999999999999</v>
      </c>
      <c r="D95">
        <v>9.8000000000000007</v>
      </c>
      <c r="E95" s="2">
        <f>C95*D95 / 100</f>
        <v>1.9502000000000002</v>
      </c>
      <c r="F95">
        <f>IF(F94 &lt; 7, F94 +1,1)</f>
        <v>3</v>
      </c>
      <c r="G95" t="str">
        <f t="shared" si="1"/>
        <v/>
      </c>
    </row>
    <row r="96" spans="1:7">
      <c r="A96" s="1">
        <v>48735</v>
      </c>
      <c r="B96" t="s">
        <v>36</v>
      </c>
      <c r="C96">
        <v>22.5</v>
      </c>
      <c r="D96">
        <v>0</v>
      </c>
      <c r="E96" s="2">
        <f>C96*D96 / 100</f>
        <v>0</v>
      </c>
      <c r="F96">
        <f>IF(F95 &lt; 7, F95 +1,1)</f>
        <v>4</v>
      </c>
      <c r="G96" t="str">
        <f t="shared" si="1"/>
        <v/>
      </c>
    </row>
    <row r="97" spans="1:7">
      <c r="A97" s="1">
        <v>48736</v>
      </c>
      <c r="B97" t="s">
        <v>22</v>
      </c>
      <c r="C97">
        <v>21.6</v>
      </c>
      <c r="D97">
        <v>4.9000000000000004</v>
      </c>
      <c r="E97" s="2">
        <f>C97*D97 / 100</f>
        <v>1.0584000000000002</v>
      </c>
      <c r="F97">
        <f>IF(F96 &lt; 7, F96 +1,1)</f>
        <v>5</v>
      </c>
      <c r="G97" t="str">
        <f t="shared" si="1"/>
        <v/>
      </c>
    </row>
    <row r="98" spans="1:7">
      <c r="A98" s="1">
        <v>48737</v>
      </c>
      <c r="B98" t="s">
        <v>21</v>
      </c>
      <c r="C98">
        <v>28.1</v>
      </c>
      <c r="D98">
        <v>0</v>
      </c>
      <c r="E98" s="2">
        <f>C98*D98 / 100</f>
        <v>0</v>
      </c>
      <c r="F98">
        <f>IF(F97 &lt; 7, F97 +1,1)</f>
        <v>6</v>
      </c>
      <c r="G98" t="str">
        <f t="shared" si="1"/>
        <v/>
      </c>
    </row>
    <row r="99" spans="1:7">
      <c r="A99" s="1">
        <v>48738</v>
      </c>
      <c r="B99" t="s">
        <v>34</v>
      </c>
      <c r="C99">
        <v>21.5</v>
      </c>
      <c r="D99">
        <v>8.6</v>
      </c>
      <c r="E99" s="2">
        <f>C99*D99 / 100</f>
        <v>1.849</v>
      </c>
      <c r="F99">
        <f>IF(F98 &lt; 7, F98 +1,1)</f>
        <v>7</v>
      </c>
      <c r="G99">
        <f t="shared" si="1"/>
        <v>156.29999999999998</v>
      </c>
    </row>
    <row r="100" spans="1:7">
      <c r="A100" s="1">
        <v>48739</v>
      </c>
      <c r="B100" t="s">
        <v>11</v>
      </c>
      <c r="C100">
        <v>22.7</v>
      </c>
      <c r="D100">
        <v>0.1</v>
      </c>
      <c r="E100" s="2">
        <f>C100*D100 / 100</f>
        <v>2.2700000000000001E-2</v>
      </c>
      <c r="F100">
        <f>IF(F99 &lt; 7, F99 +1,1)</f>
        <v>1</v>
      </c>
      <c r="G100" t="str">
        <f t="shared" si="1"/>
        <v/>
      </c>
    </row>
    <row r="101" spans="1:7">
      <c r="A101" s="1">
        <v>48740</v>
      </c>
      <c r="B101" t="s">
        <v>21</v>
      </c>
      <c r="C101">
        <v>27.4</v>
      </c>
      <c r="D101">
        <v>21.8</v>
      </c>
      <c r="E101" s="2">
        <f>C101*D101 / 100</f>
        <v>5.9731999999999994</v>
      </c>
      <c r="F101">
        <f>IF(F100 &lt; 7, F100 +1,1)</f>
        <v>2</v>
      </c>
      <c r="G101" t="str">
        <f t="shared" si="1"/>
        <v/>
      </c>
    </row>
    <row r="102" spans="1:7">
      <c r="A102" s="1">
        <v>48741</v>
      </c>
      <c r="B102" t="s">
        <v>36</v>
      </c>
      <c r="C102">
        <v>18.3</v>
      </c>
      <c r="D102">
        <v>17.3</v>
      </c>
      <c r="E102" s="2">
        <f>C102*D102 / 100</f>
        <v>3.1659000000000002</v>
      </c>
      <c r="F102">
        <f>IF(F101 &lt; 7, F101 +1,1)</f>
        <v>3</v>
      </c>
      <c r="G102" t="str">
        <f t="shared" si="1"/>
        <v/>
      </c>
    </row>
    <row r="103" spans="1:7">
      <c r="A103" s="1">
        <v>48742</v>
      </c>
      <c r="B103" t="s">
        <v>36</v>
      </c>
      <c r="C103">
        <v>29</v>
      </c>
      <c r="D103">
        <v>27.3</v>
      </c>
      <c r="E103" s="2">
        <f>C103*D103 / 100</f>
        <v>7.9170000000000007</v>
      </c>
      <c r="F103">
        <f>IF(F102 &lt; 7, F102 +1,1)</f>
        <v>4</v>
      </c>
      <c r="G103" t="str">
        <f t="shared" si="1"/>
        <v/>
      </c>
    </row>
    <row r="104" spans="1:7">
      <c r="A104" s="1">
        <v>48743</v>
      </c>
      <c r="B104" t="s">
        <v>29</v>
      </c>
      <c r="C104">
        <v>18.100000000000001</v>
      </c>
      <c r="D104">
        <v>0</v>
      </c>
      <c r="E104" s="2">
        <f>C104*D104 / 100</f>
        <v>0</v>
      </c>
      <c r="F104">
        <f>IF(F103 &lt; 7, F103 +1,1)</f>
        <v>5</v>
      </c>
      <c r="G104" t="str">
        <f t="shared" si="1"/>
        <v/>
      </c>
    </row>
    <row r="105" spans="1:7">
      <c r="A105" s="1">
        <v>48744</v>
      </c>
      <c r="B105" t="s">
        <v>18</v>
      </c>
      <c r="C105">
        <v>16.399999999999999</v>
      </c>
      <c r="D105">
        <v>1.1000000000000001</v>
      </c>
      <c r="E105" s="2">
        <f>C105*D105 / 100</f>
        <v>0.1804</v>
      </c>
      <c r="F105">
        <f>IF(F104 &lt; 7, F104 +1,1)</f>
        <v>6</v>
      </c>
      <c r="G105" t="str">
        <f t="shared" si="1"/>
        <v/>
      </c>
    </row>
    <row r="106" spans="1:7">
      <c r="A106" s="1">
        <v>48745</v>
      </c>
      <c r="B106" t="s">
        <v>30</v>
      </c>
      <c r="C106">
        <v>21.8</v>
      </c>
      <c r="D106">
        <v>0</v>
      </c>
      <c r="E106" s="2">
        <f>C106*D106 / 100</f>
        <v>0</v>
      </c>
      <c r="F106">
        <f>IF(F105 &lt; 7, F105 +1,1)</f>
        <v>7</v>
      </c>
      <c r="G106">
        <f t="shared" si="1"/>
        <v>153.70000000000002</v>
      </c>
    </row>
    <row r="107" spans="1:7">
      <c r="A107" s="1">
        <v>48746</v>
      </c>
      <c r="B107" t="s">
        <v>25</v>
      </c>
      <c r="C107">
        <v>27.2</v>
      </c>
      <c r="D107">
        <v>0</v>
      </c>
      <c r="E107" s="2">
        <f>C107*D107 / 100</f>
        <v>0</v>
      </c>
      <c r="F107">
        <f>IF(F106 &lt; 7, F106 +1,1)</f>
        <v>1</v>
      </c>
      <c r="G107" t="str">
        <f t="shared" si="1"/>
        <v/>
      </c>
    </row>
    <row r="108" spans="1:7">
      <c r="A108" s="1">
        <v>48747</v>
      </c>
      <c r="B108" t="s">
        <v>24</v>
      </c>
      <c r="C108">
        <v>21.2</v>
      </c>
      <c r="D108">
        <v>0</v>
      </c>
      <c r="E108" s="2">
        <f>C108*D108 / 100</f>
        <v>0</v>
      </c>
      <c r="F108">
        <f>IF(F107 &lt; 7, F107 +1,1)</f>
        <v>2</v>
      </c>
      <c r="G108" t="str">
        <f t="shared" si="1"/>
        <v/>
      </c>
    </row>
    <row r="109" spans="1:7">
      <c r="A109" s="1">
        <v>48748</v>
      </c>
      <c r="B109" t="s">
        <v>36</v>
      </c>
      <c r="C109">
        <v>17.7</v>
      </c>
      <c r="D109">
        <v>13.9</v>
      </c>
      <c r="E109" s="2">
        <f>C109*D109 / 100</f>
        <v>2.4603000000000002</v>
      </c>
      <c r="F109">
        <f>IF(F108 &lt; 7, F108 +1,1)</f>
        <v>3</v>
      </c>
      <c r="G109" t="str">
        <f t="shared" si="1"/>
        <v/>
      </c>
    </row>
    <row r="110" spans="1:7">
      <c r="A110" s="1">
        <v>48749</v>
      </c>
      <c r="B110" t="s">
        <v>24</v>
      </c>
      <c r="C110">
        <v>10.6</v>
      </c>
      <c r="D110">
        <v>6.9</v>
      </c>
      <c r="E110" s="2">
        <f>C110*D110 / 100</f>
        <v>0.73140000000000005</v>
      </c>
      <c r="F110">
        <f>IF(F109 &lt; 7, F109 +1,1)</f>
        <v>4</v>
      </c>
      <c r="G110" t="str">
        <f t="shared" si="1"/>
        <v/>
      </c>
    </row>
    <row r="111" spans="1:7">
      <c r="A111" s="1">
        <v>48750</v>
      </c>
      <c r="B111" t="s">
        <v>14</v>
      </c>
      <c r="C111">
        <v>10.4</v>
      </c>
      <c r="D111">
        <v>1.1000000000000001</v>
      </c>
      <c r="E111" s="2">
        <f>C111*D111 / 100</f>
        <v>0.11440000000000002</v>
      </c>
      <c r="F111">
        <f>IF(F110 &lt; 7, F110 +1,1)</f>
        <v>5</v>
      </c>
      <c r="G111" t="str">
        <f t="shared" si="1"/>
        <v/>
      </c>
    </row>
    <row r="112" spans="1:7">
      <c r="A112" s="1">
        <v>48751</v>
      </c>
      <c r="B112" t="s">
        <v>21</v>
      </c>
      <c r="C112">
        <v>15.8</v>
      </c>
      <c r="D112">
        <v>7.1</v>
      </c>
      <c r="E112" s="2">
        <f>C112*D112 / 100</f>
        <v>1.1217999999999999</v>
      </c>
      <c r="F112">
        <f>IF(F111 &lt; 7, F111 +1,1)</f>
        <v>6</v>
      </c>
      <c r="G112" t="str">
        <f t="shared" si="1"/>
        <v/>
      </c>
    </row>
    <row r="113" spans="1:7">
      <c r="A113" s="1">
        <v>48752</v>
      </c>
      <c r="B113" t="s">
        <v>26</v>
      </c>
      <c r="C113">
        <v>19.899999999999999</v>
      </c>
      <c r="D113">
        <v>10.8</v>
      </c>
      <c r="E113" s="2">
        <f>C113*D113 / 100</f>
        <v>2.1492</v>
      </c>
      <c r="F113">
        <f>IF(F112 &lt; 7, F112 +1,1)</f>
        <v>7</v>
      </c>
      <c r="G113">
        <f t="shared" si="1"/>
        <v>122.79999999999998</v>
      </c>
    </row>
    <row r="114" spans="1:7">
      <c r="A114" s="1">
        <v>48753</v>
      </c>
      <c r="B114" t="s">
        <v>9</v>
      </c>
      <c r="C114">
        <v>13</v>
      </c>
      <c r="D114">
        <v>0</v>
      </c>
      <c r="E114" s="2">
        <f>C114*D114 / 100</f>
        <v>0</v>
      </c>
      <c r="F114">
        <f>IF(F113 &lt; 7, F113 +1,1)</f>
        <v>1</v>
      </c>
      <c r="G114" t="str">
        <f t="shared" si="1"/>
        <v/>
      </c>
    </row>
    <row r="115" spans="1:7">
      <c r="A115" s="1">
        <v>48754</v>
      </c>
      <c r="B115" t="s">
        <v>16</v>
      </c>
      <c r="C115">
        <v>28.1</v>
      </c>
      <c r="D115">
        <v>15</v>
      </c>
      <c r="E115" s="2">
        <f>C115*D115 / 100</f>
        <v>4.2149999999999999</v>
      </c>
      <c r="F115">
        <f>IF(F114 &lt; 7, F114 +1,1)</f>
        <v>2</v>
      </c>
      <c r="G115" t="str">
        <f t="shared" si="1"/>
        <v/>
      </c>
    </row>
    <row r="116" spans="1:7">
      <c r="A116" s="1">
        <v>48755</v>
      </c>
      <c r="B116" t="s">
        <v>34</v>
      </c>
      <c r="C116">
        <v>22.5</v>
      </c>
      <c r="D116">
        <v>8.6</v>
      </c>
      <c r="E116" s="2">
        <f>C116*D116 / 100</f>
        <v>1.9350000000000001</v>
      </c>
      <c r="F116">
        <f>IF(F115 &lt; 7, F115 +1,1)</f>
        <v>3</v>
      </c>
      <c r="G116" t="str">
        <f t="shared" si="1"/>
        <v/>
      </c>
    </row>
    <row r="117" spans="1:7">
      <c r="A117" s="1">
        <v>48756</v>
      </c>
      <c r="B117" t="s">
        <v>36</v>
      </c>
      <c r="C117">
        <v>14</v>
      </c>
      <c r="D117">
        <v>36.1</v>
      </c>
      <c r="E117" s="2">
        <f>C117*D117 / 100</f>
        <v>5.0540000000000003</v>
      </c>
      <c r="F117">
        <f>IF(F116 &lt; 7, F116 +1,1)</f>
        <v>4</v>
      </c>
      <c r="G117" t="str">
        <f t="shared" si="1"/>
        <v/>
      </c>
    </row>
    <row r="118" spans="1:7">
      <c r="A118" s="1">
        <v>48757</v>
      </c>
      <c r="B118" t="s">
        <v>21</v>
      </c>
      <c r="C118">
        <v>10.6</v>
      </c>
      <c r="D118">
        <v>18.399999999999999</v>
      </c>
      <c r="E118" s="2">
        <f>C118*D118 / 100</f>
        <v>1.9503999999999999</v>
      </c>
      <c r="F118">
        <f>IF(F117 &lt; 7, F117 +1,1)</f>
        <v>5</v>
      </c>
      <c r="G118" t="str">
        <f t="shared" si="1"/>
        <v/>
      </c>
    </row>
    <row r="119" spans="1:7">
      <c r="A119" s="1">
        <v>48758</v>
      </c>
      <c r="B119" t="s">
        <v>6</v>
      </c>
      <c r="C119">
        <v>22.3</v>
      </c>
      <c r="D119">
        <v>0</v>
      </c>
      <c r="E119" s="2">
        <f>C119*D119 / 100</f>
        <v>0</v>
      </c>
      <c r="F119">
        <f>IF(F118 &lt; 7, F118 +1,1)</f>
        <v>6</v>
      </c>
      <c r="G119" t="str">
        <f t="shared" si="1"/>
        <v/>
      </c>
    </row>
    <row r="120" spans="1:7">
      <c r="A120" s="1">
        <v>48759</v>
      </c>
      <c r="B120" t="s">
        <v>36</v>
      </c>
      <c r="C120">
        <v>14.5</v>
      </c>
      <c r="D120">
        <v>26</v>
      </c>
      <c r="E120" s="2">
        <f>C120*D120 / 100</f>
        <v>3.77</v>
      </c>
      <c r="F120">
        <f>IF(F119 &lt; 7, F119 +1,1)</f>
        <v>7</v>
      </c>
      <c r="G120">
        <f t="shared" si="1"/>
        <v>124.99999999999999</v>
      </c>
    </row>
    <row r="121" spans="1:7">
      <c r="A121" s="1">
        <v>48760</v>
      </c>
      <c r="B121" t="s">
        <v>10</v>
      </c>
      <c r="C121">
        <v>21</v>
      </c>
      <c r="D121">
        <v>1.7</v>
      </c>
      <c r="E121" s="2">
        <f>C121*D121 / 100</f>
        <v>0.35699999999999998</v>
      </c>
      <c r="F121">
        <f>IF(F120 &lt; 7, F120 +1,1)</f>
        <v>1</v>
      </c>
      <c r="G121" t="str">
        <f t="shared" si="1"/>
        <v/>
      </c>
    </row>
    <row r="122" spans="1:7">
      <c r="A122" s="1">
        <v>48761</v>
      </c>
      <c r="B122" t="s">
        <v>15</v>
      </c>
      <c r="C122">
        <v>17.7</v>
      </c>
      <c r="D122">
        <v>0.4</v>
      </c>
      <c r="E122" s="2">
        <f>C122*D122 / 100</f>
        <v>7.0800000000000002E-2</v>
      </c>
      <c r="F122">
        <f>IF(F121 &lt; 7, F121 +1,1)</f>
        <v>2</v>
      </c>
      <c r="G122" t="str">
        <f t="shared" si="1"/>
        <v/>
      </c>
    </row>
    <row r="123" spans="1:7">
      <c r="A123" s="1">
        <v>48762</v>
      </c>
      <c r="B123" t="s">
        <v>16</v>
      </c>
      <c r="C123">
        <v>24.3</v>
      </c>
      <c r="D123">
        <v>9.6999999999999993</v>
      </c>
      <c r="E123" s="2">
        <f>C123*D123 / 100</f>
        <v>2.3571</v>
      </c>
      <c r="F123">
        <f>IF(F122 &lt; 7, F122 +1,1)</f>
        <v>3</v>
      </c>
      <c r="G123" t="str">
        <f t="shared" si="1"/>
        <v/>
      </c>
    </row>
    <row r="124" spans="1:7">
      <c r="A124" s="1">
        <v>48763</v>
      </c>
      <c r="B124" t="s">
        <v>33</v>
      </c>
      <c r="C124">
        <v>18.8</v>
      </c>
      <c r="D124">
        <v>6.4</v>
      </c>
      <c r="E124" s="2">
        <f>C124*D124 / 100</f>
        <v>1.2032</v>
      </c>
      <c r="F124">
        <f>IF(F123 &lt; 7, F123 +1,1)</f>
        <v>4</v>
      </c>
      <c r="G124" t="str">
        <f t="shared" si="1"/>
        <v/>
      </c>
    </row>
    <row r="125" spans="1:7">
      <c r="A125" s="1">
        <v>48764</v>
      </c>
      <c r="B125" t="s">
        <v>19</v>
      </c>
      <c r="C125">
        <v>15.9</v>
      </c>
      <c r="D125">
        <v>5.2</v>
      </c>
      <c r="E125" s="2">
        <f>C125*D125 / 100</f>
        <v>0.82680000000000009</v>
      </c>
      <c r="F125">
        <f>IF(F124 &lt; 7, F124 +1,1)</f>
        <v>5</v>
      </c>
      <c r="G125" t="str">
        <f t="shared" si="1"/>
        <v/>
      </c>
    </row>
    <row r="126" spans="1:7">
      <c r="A126" s="1">
        <v>48765</v>
      </c>
      <c r="B126" t="s">
        <v>16</v>
      </c>
      <c r="C126">
        <v>26.1</v>
      </c>
      <c r="D126">
        <v>0</v>
      </c>
      <c r="E126" s="2">
        <f>C126*D126 / 100</f>
        <v>0</v>
      </c>
      <c r="F126">
        <f>IF(F125 &lt; 7, F125 +1,1)</f>
        <v>6</v>
      </c>
      <c r="G126" t="str">
        <f t="shared" si="1"/>
        <v/>
      </c>
    </row>
    <row r="127" spans="1:7">
      <c r="A127" s="1">
        <v>48766</v>
      </c>
      <c r="B127" t="s">
        <v>36</v>
      </c>
      <c r="C127">
        <v>29.4</v>
      </c>
      <c r="D127">
        <v>8.8000000000000007</v>
      </c>
      <c r="E127" s="2">
        <f>C127*D127 / 100</f>
        <v>2.5872000000000002</v>
      </c>
      <c r="F127">
        <f>IF(F126 &lt; 7, F126 +1,1)</f>
        <v>7</v>
      </c>
      <c r="G127">
        <f t="shared" si="1"/>
        <v>153.20000000000002</v>
      </c>
    </row>
    <row r="128" spans="1:7">
      <c r="A128" s="1">
        <v>48767</v>
      </c>
      <c r="B128" t="s">
        <v>19</v>
      </c>
      <c r="C128">
        <v>10.5</v>
      </c>
      <c r="D128">
        <v>14.5</v>
      </c>
      <c r="E128" s="2">
        <f>C128*D128 / 100</f>
        <v>1.5225</v>
      </c>
      <c r="F128">
        <f>IF(F127 &lt; 7, F127 +1,1)</f>
        <v>1</v>
      </c>
      <c r="G128" t="str">
        <f t="shared" si="1"/>
        <v/>
      </c>
    </row>
    <row r="129" spans="1:7">
      <c r="A129" s="1">
        <v>48768</v>
      </c>
      <c r="B129" t="s">
        <v>17</v>
      </c>
      <c r="C129">
        <v>18.100000000000001</v>
      </c>
      <c r="D129">
        <v>0</v>
      </c>
      <c r="E129" s="2">
        <f>C129*D129 / 100</f>
        <v>0</v>
      </c>
      <c r="F129">
        <f>IF(F128 &lt; 7, F128 +1,1)</f>
        <v>2</v>
      </c>
      <c r="G129" t="str">
        <f t="shared" si="1"/>
        <v/>
      </c>
    </row>
    <row r="130" spans="1:7">
      <c r="A130" s="1">
        <v>48769</v>
      </c>
      <c r="B130" t="s">
        <v>33</v>
      </c>
      <c r="C130">
        <v>20.6</v>
      </c>
      <c r="D130">
        <v>0</v>
      </c>
      <c r="E130" s="2">
        <f>C130*D130 / 100</f>
        <v>0</v>
      </c>
      <c r="F130">
        <f>IF(F129 &lt; 7, F129 +1,1)</f>
        <v>3</v>
      </c>
      <c r="G130" t="str">
        <f t="shared" si="1"/>
        <v/>
      </c>
    </row>
    <row r="131" spans="1:7">
      <c r="A131" s="1">
        <v>48770</v>
      </c>
      <c r="B131" t="s">
        <v>33</v>
      </c>
      <c r="C131">
        <v>17.100000000000001</v>
      </c>
      <c r="D131">
        <v>0</v>
      </c>
      <c r="E131" s="2">
        <f>C131*D131 / 100</f>
        <v>0</v>
      </c>
      <c r="F131">
        <f>IF(F130 &lt; 7, F130 +1,1)</f>
        <v>4</v>
      </c>
      <c r="G131" t="str">
        <f t="shared" si="1"/>
        <v/>
      </c>
    </row>
    <row r="132" spans="1:7">
      <c r="A132" s="1">
        <v>48771</v>
      </c>
      <c r="B132" t="s">
        <v>24</v>
      </c>
      <c r="C132">
        <v>17</v>
      </c>
      <c r="D132">
        <v>0.3</v>
      </c>
      <c r="E132" s="2">
        <f>C132*D132 / 100</f>
        <v>5.0999999999999997E-2</v>
      </c>
      <c r="F132">
        <f>IF(F131 &lt; 7, F131 +1,1)</f>
        <v>5</v>
      </c>
      <c r="G132" t="str">
        <f t="shared" si="1"/>
        <v/>
      </c>
    </row>
    <row r="133" spans="1:7">
      <c r="A133" s="1">
        <v>48772</v>
      </c>
      <c r="B133" t="s">
        <v>6</v>
      </c>
      <c r="C133">
        <v>14.7</v>
      </c>
      <c r="D133">
        <v>2.2999999999999998</v>
      </c>
      <c r="E133" s="2">
        <f>C133*D133 / 100</f>
        <v>0.33809999999999996</v>
      </c>
      <c r="F133">
        <f>IF(F132 &lt; 7, F132 +1,1)</f>
        <v>6</v>
      </c>
      <c r="G133" t="str">
        <f t="shared" si="1"/>
        <v/>
      </c>
    </row>
    <row r="134" spans="1:7">
      <c r="A134" s="1">
        <v>48773</v>
      </c>
      <c r="B134" t="s">
        <v>33</v>
      </c>
      <c r="C134">
        <v>21.7</v>
      </c>
      <c r="D134">
        <v>0</v>
      </c>
      <c r="E134" s="2">
        <f>C134*D134 / 100</f>
        <v>0</v>
      </c>
      <c r="F134">
        <f>IF(F133 &lt; 7, F133 +1,1)</f>
        <v>7</v>
      </c>
      <c r="G134">
        <f t="shared" si="1"/>
        <v>119.70000000000002</v>
      </c>
    </row>
    <row r="135" spans="1:7">
      <c r="A135" s="1">
        <v>48774</v>
      </c>
      <c r="B135" t="s">
        <v>31</v>
      </c>
      <c r="C135">
        <v>12.5</v>
      </c>
      <c r="D135">
        <v>0</v>
      </c>
      <c r="E135" s="2">
        <f>C135*D135 / 100</f>
        <v>0</v>
      </c>
      <c r="F135">
        <f>IF(F134 &lt; 7, F134 +1,1)</f>
        <v>1</v>
      </c>
      <c r="G135" t="str">
        <f t="shared" si="1"/>
        <v/>
      </c>
    </row>
    <row r="136" spans="1:7">
      <c r="A136" s="1">
        <v>48775</v>
      </c>
      <c r="B136" t="s">
        <v>22</v>
      </c>
      <c r="C136">
        <v>17.8</v>
      </c>
      <c r="D136">
        <v>4.0999999999999996</v>
      </c>
      <c r="E136" s="2">
        <f>C136*D136 / 100</f>
        <v>0.72979999999999989</v>
      </c>
      <c r="F136">
        <f>IF(F135 &lt; 7, F135 +1,1)</f>
        <v>2</v>
      </c>
      <c r="G136" t="str">
        <f t="shared" si="1"/>
        <v/>
      </c>
    </row>
    <row r="137" spans="1:7">
      <c r="A137" s="1">
        <v>48776</v>
      </c>
      <c r="B137" t="s">
        <v>21</v>
      </c>
      <c r="C137">
        <v>28.9</v>
      </c>
      <c r="D137">
        <v>38.700000000000003</v>
      </c>
      <c r="E137" s="2">
        <f>C137*D137 / 100</f>
        <v>11.1843</v>
      </c>
      <c r="F137">
        <f>IF(F136 &lt; 7, F136 +1,1)</f>
        <v>3</v>
      </c>
      <c r="G137" t="str">
        <f t="shared" ref="G137:G200" si="2">IF(F137=7, SUM(C131:C137), "")</f>
        <v/>
      </c>
    </row>
    <row r="138" spans="1:7">
      <c r="A138" s="1">
        <v>48777</v>
      </c>
      <c r="B138" t="s">
        <v>9</v>
      </c>
      <c r="C138">
        <v>21</v>
      </c>
      <c r="D138">
        <v>3.5</v>
      </c>
      <c r="E138" s="2">
        <f>C138*D138 / 100</f>
        <v>0.73499999999999999</v>
      </c>
      <c r="F138">
        <f>IF(F137 &lt; 7, F137 +1,1)</f>
        <v>4</v>
      </c>
      <c r="G138" t="str">
        <f t="shared" si="2"/>
        <v/>
      </c>
    </row>
    <row r="139" spans="1:7">
      <c r="A139" s="1">
        <v>48778</v>
      </c>
      <c r="B139" t="s">
        <v>28</v>
      </c>
      <c r="C139">
        <v>13</v>
      </c>
      <c r="D139">
        <v>0.1</v>
      </c>
      <c r="E139" s="2">
        <f>C139*D139 / 100</f>
        <v>1.3000000000000001E-2</v>
      </c>
      <c r="F139">
        <f>IF(F138 &lt; 7, F138 +1,1)</f>
        <v>5</v>
      </c>
      <c r="G139" t="str">
        <f t="shared" si="2"/>
        <v/>
      </c>
    </row>
    <row r="140" spans="1:7">
      <c r="A140" s="1">
        <v>48779</v>
      </c>
      <c r="B140" t="s">
        <v>21</v>
      </c>
      <c r="C140">
        <v>23.1</v>
      </c>
      <c r="D140">
        <v>0</v>
      </c>
      <c r="E140" s="2">
        <f>C140*D140 / 100</f>
        <v>0</v>
      </c>
      <c r="F140">
        <f>IF(F139 &lt; 7, F139 +1,1)</f>
        <v>6</v>
      </c>
      <c r="G140" t="str">
        <f t="shared" si="2"/>
        <v/>
      </c>
    </row>
    <row r="141" spans="1:7">
      <c r="A141" s="1">
        <v>48780</v>
      </c>
      <c r="B141" t="s">
        <v>33</v>
      </c>
      <c r="C141">
        <v>28.5</v>
      </c>
      <c r="D141">
        <v>0</v>
      </c>
      <c r="E141" s="2">
        <f>C141*D141 / 100</f>
        <v>0</v>
      </c>
      <c r="F141">
        <f>IF(F140 &lt; 7, F140 +1,1)</f>
        <v>7</v>
      </c>
      <c r="G141">
        <f t="shared" si="2"/>
        <v>144.80000000000001</v>
      </c>
    </row>
    <row r="142" spans="1:7">
      <c r="A142" s="1">
        <v>48781</v>
      </c>
      <c r="B142" t="s">
        <v>33</v>
      </c>
      <c r="C142">
        <v>12.8</v>
      </c>
      <c r="D142">
        <v>0</v>
      </c>
      <c r="E142" s="2">
        <f>C142*D142 / 100</f>
        <v>0</v>
      </c>
      <c r="F142">
        <f>IF(F141 &lt; 7, F141 +1,1)</f>
        <v>1</v>
      </c>
      <c r="G142" t="str">
        <f t="shared" si="2"/>
        <v/>
      </c>
    </row>
    <row r="143" spans="1:7">
      <c r="A143" s="1">
        <v>48782</v>
      </c>
      <c r="B143" t="s">
        <v>20</v>
      </c>
      <c r="C143">
        <v>26.8</v>
      </c>
      <c r="D143">
        <v>0</v>
      </c>
      <c r="E143" s="2">
        <f>C143*D143 / 100</f>
        <v>0</v>
      </c>
      <c r="F143">
        <f>IF(F142 &lt; 7, F142 +1,1)</f>
        <v>2</v>
      </c>
      <c r="G143" t="str">
        <f t="shared" si="2"/>
        <v/>
      </c>
    </row>
    <row r="144" spans="1:7">
      <c r="A144" s="1">
        <v>48783</v>
      </c>
      <c r="B144" t="s">
        <v>21</v>
      </c>
      <c r="C144">
        <v>15.1</v>
      </c>
      <c r="D144">
        <v>24.8</v>
      </c>
      <c r="E144" s="2">
        <f>C144*D144 / 100</f>
        <v>3.7448000000000001</v>
      </c>
      <c r="F144">
        <f>IF(F143 &lt; 7, F143 +1,1)</f>
        <v>3</v>
      </c>
      <c r="G144" t="str">
        <f t="shared" si="2"/>
        <v/>
      </c>
    </row>
    <row r="145" spans="1:7">
      <c r="A145" s="1">
        <v>48784</v>
      </c>
      <c r="B145" t="s">
        <v>29</v>
      </c>
      <c r="C145">
        <v>14.4</v>
      </c>
      <c r="D145">
        <v>13.5</v>
      </c>
      <c r="E145" s="2">
        <f>C145*D145 / 100</f>
        <v>1.944</v>
      </c>
      <c r="F145">
        <f>IF(F144 &lt; 7, F144 +1,1)</f>
        <v>4</v>
      </c>
      <c r="G145" t="str">
        <f t="shared" si="2"/>
        <v/>
      </c>
    </row>
    <row r="146" spans="1:7">
      <c r="A146" s="1">
        <v>48785</v>
      </c>
      <c r="B146" t="s">
        <v>9</v>
      </c>
      <c r="C146">
        <v>29.2</v>
      </c>
      <c r="D146">
        <v>15.7</v>
      </c>
      <c r="E146" s="2">
        <f>C146*D146 / 100</f>
        <v>4.5843999999999996</v>
      </c>
      <c r="F146">
        <f>IF(F145 &lt; 7, F145 +1,1)</f>
        <v>5</v>
      </c>
      <c r="G146" t="str">
        <f t="shared" si="2"/>
        <v/>
      </c>
    </row>
    <row r="147" spans="1:7">
      <c r="A147" s="1">
        <v>48786</v>
      </c>
      <c r="B147" t="s">
        <v>21</v>
      </c>
      <c r="C147">
        <v>28.9</v>
      </c>
      <c r="D147">
        <v>47.2</v>
      </c>
      <c r="E147" s="2">
        <f>C147*D147 / 100</f>
        <v>13.640799999999999</v>
      </c>
      <c r="F147">
        <f>IF(F146 &lt; 7, F146 +1,1)</f>
        <v>6</v>
      </c>
      <c r="G147" t="str">
        <f t="shared" si="2"/>
        <v/>
      </c>
    </row>
    <row r="148" spans="1:7">
      <c r="A148" s="1">
        <v>48787</v>
      </c>
      <c r="B148" t="s">
        <v>18</v>
      </c>
      <c r="C148">
        <v>18.399999999999999</v>
      </c>
      <c r="D148">
        <v>3.9</v>
      </c>
      <c r="E148" s="2">
        <f>C148*D148 / 100</f>
        <v>0.7175999999999999</v>
      </c>
      <c r="F148">
        <f>IF(F147 &lt; 7, F147 +1,1)</f>
        <v>7</v>
      </c>
      <c r="G148">
        <f t="shared" si="2"/>
        <v>145.60000000000002</v>
      </c>
    </row>
    <row r="149" spans="1:7">
      <c r="A149" s="1">
        <v>48788</v>
      </c>
      <c r="B149" t="s">
        <v>23</v>
      </c>
      <c r="C149">
        <v>26.2</v>
      </c>
      <c r="D149">
        <v>4</v>
      </c>
      <c r="E149" s="2">
        <f>C149*D149 / 100</f>
        <v>1.048</v>
      </c>
      <c r="F149">
        <f>IF(F148 &lt; 7, F148 +1,1)</f>
        <v>1</v>
      </c>
      <c r="G149" t="str">
        <f t="shared" si="2"/>
        <v/>
      </c>
    </row>
    <row r="150" spans="1:7">
      <c r="A150" s="1">
        <v>48789</v>
      </c>
      <c r="B150" t="s">
        <v>21</v>
      </c>
      <c r="C150">
        <v>14.3</v>
      </c>
      <c r="D150">
        <v>45.1</v>
      </c>
      <c r="E150" s="2">
        <f>C150*D150 / 100</f>
        <v>6.4493000000000009</v>
      </c>
      <c r="F150">
        <f>IF(F149 &lt; 7, F149 +1,1)</f>
        <v>2</v>
      </c>
      <c r="G150" t="str">
        <f t="shared" si="2"/>
        <v/>
      </c>
    </row>
    <row r="151" spans="1:7">
      <c r="A151" s="1">
        <v>48790</v>
      </c>
      <c r="B151" t="s">
        <v>16</v>
      </c>
      <c r="C151">
        <v>14.5</v>
      </c>
      <c r="D151">
        <v>0</v>
      </c>
      <c r="E151" s="2">
        <f>C151*D151 / 100</f>
        <v>0</v>
      </c>
      <c r="F151">
        <f>IF(F150 &lt; 7, F150 +1,1)</f>
        <v>3</v>
      </c>
      <c r="G151" t="str">
        <f t="shared" si="2"/>
        <v/>
      </c>
    </row>
    <row r="152" spans="1:7">
      <c r="A152" s="1">
        <v>48791</v>
      </c>
      <c r="B152" t="s">
        <v>21</v>
      </c>
      <c r="C152">
        <v>18.600000000000001</v>
      </c>
      <c r="D152">
        <v>5.5</v>
      </c>
      <c r="E152" s="2">
        <f>C152*D152 / 100</f>
        <v>1.0230000000000001</v>
      </c>
      <c r="F152">
        <f>IF(F151 &lt; 7, F151 +1,1)</f>
        <v>4</v>
      </c>
      <c r="G152" t="str">
        <f t="shared" si="2"/>
        <v/>
      </c>
    </row>
    <row r="153" spans="1:7">
      <c r="A153" s="1">
        <v>48792</v>
      </c>
      <c r="B153" t="s">
        <v>16</v>
      </c>
      <c r="C153">
        <v>26.3</v>
      </c>
      <c r="D153">
        <v>14.5</v>
      </c>
      <c r="E153" s="2">
        <f>C153*D153 / 100</f>
        <v>3.8135000000000003</v>
      </c>
      <c r="F153">
        <f>IF(F152 &lt; 7, F152 +1,1)</f>
        <v>5</v>
      </c>
      <c r="G153" t="str">
        <f t="shared" si="2"/>
        <v/>
      </c>
    </row>
    <row r="154" spans="1:7">
      <c r="A154" s="1">
        <v>48793</v>
      </c>
      <c r="B154" t="s">
        <v>27</v>
      </c>
      <c r="C154">
        <v>25.9</v>
      </c>
      <c r="D154">
        <v>0.7</v>
      </c>
      <c r="E154" s="2">
        <f>C154*D154 / 100</f>
        <v>0.18129999999999999</v>
      </c>
      <c r="F154">
        <f>IF(F153 &lt; 7, F153 +1,1)</f>
        <v>6</v>
      </c>
      <c r="G154" t="str">
        <f t="shared" si="2"/>
        <v/>
      </c>
    </row>
    <row r="155" spans="1:7">
      <c r="A155" s="1">
        <v>48794</v>
      </c>
      <c r="B155" t="s">
        <v>34</v>
      </c>
      <c r="C155">
        <v>29.8</v>
      </c>
      <c r="D155">
        <v>0</v>
      </c>
      <c r="E155" s="2">
        <f>C155*D155 / 100</f>
        <v>0</v>
      </c>
      <c r="F155">
        <f>IF(F154 &lt; 7, F154 +1,1)</f>
        <v>7</v>
      </c>
      <c r="G155">
        <f t="shared" si="2"/>
        <v>155.6</v>
      </c>
    </row>
    <row r="156" spans="1:7">
      <c r="A156" s="1">
        <v>48795</v>
      </c>
      <c r="B156" t="s">
        <v>21</v>
      </c>
      <c r="C156">
        <v>18.3</v>
      </c>
      <c r="D156">
        <v>18.7</v>
      </c>
      <c r="E156" s="2">
        <f>C156*D156 / 100</f>
        <v>3.4220999999999999</v>
      </c>
      <c r="F156">
        <f>IF(F155 &lt; 7, F155 +1,1)</f>
        <v>1</v>
      </c>
      <c r="G156" t="str">
        <f t="shared" si="2"/>
        <v/>
      </c>
    </row>
    <row r="157" spans="1:7">
      <c r="A157" s="1">
        <v>48796</v>
      </c>
      <c r="B157" t="s">
        <v>34</v>
      </c>
      <c r="C157">
        <v>24.5</v>
      </c>
      <c r="D157">
        <v>6.7</v>
      </c>
      <c r="E157" s="2">
        <f>C157*D157 / 100</f>
        <v>1.6415</v>
      </c>
      <c r="F157">
        <f>IF(F156 &lt; 7, F156 +1,1)</f>
        <v>2</v>
      </c>
      <c r="G157" t="str">
        <f t="shared" si="2"/>
        <v/>
      </c>
    </row>
    <row r="158" spans="1:7">
      <c r="A158" s="1">
        <v>48797</v>
      </c>
      <c r="B158" t="s">
        <v>36</v>
      </c>
      <c r="C158">
        <v>18.7</v>
      </c>
      <c r="D158">
        <v>0</v>
      </c>
      <c r="E158" s="2">
        <f>C158*D158 / 100</f>
        <v>0</v>
      </c>
      <c r="F158">
        <f>IF(F157 &lt; 7, F157 +1,1)</f>
        <v>3</v>
      </c>
      <c r="G158" t="str">
        <f t="shared" si="2"/>
        <v/>
      </c>
    </row>
    <row r="159" spans="1:7">
      <c r="A159" s="1">
        <v>48798</v>
      </c>
      <c r="B159" t="s">
        <v>36</v>
      </c>
      <c r="C159">
        <v>29.2</v>
      </c>
      <c r="D159">
        <v>34.9</v>
      </c>
      <c r="E159" s="2">
        <f>C159*D159 / 100</f>
        <v>10.190799999999999</v>
      </c>
      <c r="F159">
        <f>IF(F158 &lt; 7, F158 +1,1)</f>
        <v>4</v>
      </c>
      <c r="G159" t="str">
        <f t="shared" si="2"/>
        <v/>
      </c>
    </row>
    <row r="160" spans="1:7">
      <c r="A160" s="1">
        <v>48799</v>
      </c>
      <c r="B160" t="s">
        <v>26</v>
      </c>
      <c r="C160">
        <v>21.4</v>
      </c>
      <c r="D160">
        <v>10.7</v>
      </c>
      <c r="E160" s="2">
        <f>C160*D160 / 100</f>
        <v>2.2897999999999996</v>
      </c>
      <c r="F160">
        <f>IF(F159 &lt; 7, F159 +1,1)</f>
        <v>5</v>
      </c>
      <c r="G160" t="str">
        <f t="shared" si="2"/>
        <v/>
      </c>
    </row>
    <row r="161" spans="1:7">
      <c r="A161" s="1">
        <v>48800</v>
      </c>
      <c r="B161" t="s">
        <v>33</v>
      </c>
      <c r="C161">
        <v>25.6</v>
      </c>
      <c r="D161">
        <v>3.1</v>
      </c>
      <c r="E161" s="2">
        <f>C161*D161 / 100</f>
        <v>0.79360000000000008</v>
      </c>
      <c r="F161">
        <f>IF(F160 &lt; 7, F160 +1,1)</f>
        <v>6</v>
      </c>
      <c r="G161" t="str">
        <f t="shared" si="2"/>
        <v/>
      </c>
    </row>
    <row r="162" spans="1:7">
      <c r="A162" s="1">
        <v>48801</v>
      </c>
      <c r="B162" t="s">
        <v>33</v>
      </c>
      <c r="C162">
        <v>15.7</v>
      </c>
      <c r="D162">
        <v>5.0999999999999996</v>
      </c>
      <c r="E162" s="2">
        <f>C162*D162 / 100</f>
        <v>0.80069999999999997</v>
      </c>
      <c r="F162">
        <f>IF(F161 &lt; 7, F161 +1,1)</f>
        <v>7</v>
      </c>
      <c r="G162">
        <f t="shared" si="2"/>
        <v>153.39999999999998</v>
      </c>
    </row>
    <row r="163" spans="1:7">
      <c r="A163" s="1">
        <v>48802</v>
      </c>
      <c r="B163" t="s">
        <v>30</v>
      </c>
      <c r="C163">
        <v>27.3</v>
      </c>
      <c r="D163">
        <v>11</v>
      </c>
      <c r="E163" s="2">
        <f>C163*D163 / 100</f>
        <v>3.0030000000000001</v>
      </c>
      <c r="F163">
        <f>IF(F162 &lt; 7, F162 +1,1)</f>
        <v>1</v>
      </c>
      <c r="G163" t="str">
        <f t="shared" si="2"/>
        <v/>
      </c>
    </row>
    <row r="164" spans="1:7">
      <c r="A164" s="1">
        <v>48803</v>
      </c>
      <c r="B164" t="s">
        <v>35</v>
      </c>
      <c r="C164">
        <v>28.4</v>
      </c>
      <c r="D164">
        <v>2.7</v>
      </c>
      <c r="E164" s="2">
        <f>C164*D164 / 100</f>
        <v>0.76680000000000004</v>
      </c>
      <c r="F164">
        <f>IF(F163 &lt; 7, F163 +1,1)</f>
        <v>2</v>
      </c>
      <c r="G164" t="str">
        <f t="shared" si="2"/>
        <v/>
      </c>
    </row>
    <row r="165" spans="1:7">
      <c r="A165" s="1">
        <v>48804</v>
      </c>
      <c r="B165" t="s">
        <v>9</v>
      </c>
      <c r="C165">
        <v>22</v>
      </c>
      <c r="D165">
        <v>3.3</v>
      </c>
      <c r="E165" s="2">
        <f>C165*D165 / 100</f>
        <v>0.72599999999999998</v>
      </c>
      <c r="F165">
        <f>IF(F164 &lt; 7, F164 +1,1)</f>
        <v>3</v>
      </c>
      <c r="G165" t="str">
        <f t="shared" si="2"/>
        <v/>
      </c>
    </row>
    <row r="166" spans="1:7">
      <c r="A166" s="1">
        <v>48805</v>
      </c>
      <c r="B166" t="s">
        <v>22</v>
      </c>
      <c r="C166">
        <v>19.399999999999999</v>
      </c>
      <c r="D166">
        <v>0</v>
      </c>
      <c r="E166" s="2">
        <f>C166*D166 / 100</f>
        <v>0</v>
      </c>
      <c r="F166">
        <f>IF(F165 &lt; 7, F165 +1,1)</f>
        <v>4</v>
      </c>
      <c r="G166" t="str">
        <f t="shared" si="2"/>
        <v/>
      </c>
    </row>
    <row r="167" spans="1:7">
      <c r="A167" s="1">
        <v>48806</v>
      </c>
      <c r="B167" t="s">
        <v>33</v>
      </c>
      <c r="C167">
        <v>22.7</v>
      </c>
      <c r="D167">
        <v>14.8</v>
      </c>
      <c r="E167" s="2">
        <f>C167*D167 / 100</f>
        <v>3.3595999999999999</v>
      </c>
      <c r="F167">
        <f>IF(F166 &lt; 7, F166 +1,1)</f>
        <v>5</v>
      </c>
      <c r="G167" t="str">
        <f t="shared" si="2"/>
        <v/>
      </c>
    </row>
    <row r="168" spans="1:7">
      <c r="A168" s="1">
        <v>48807</v>
      </c>
      <c r="B168" t="s">
        <v>16</v>
      </c>
      <c r="C168">
        <v>22.6</v>
      </c>
      <c r="D168">
        <v>16.5</v>
      </c>
      <c r="E168" s="2">
        <f>C168*D168 / 100</f>
        <v>3.7290000000000005</v>
      </c>
      <c r="F168">
        <f>IF(F167 &lt; 7, F167 +1,1)</f>
        <v>6</v>
      </c>
      <c r="G168" t="str">
        <f t="shared" si="2"/>
        <v/>
      </c>
    </row>
    <row r="169" spans="1:7">
      <c r="A169" s="1">
        <v>48808</v>
      </c>
      <c r="B169" t="s">
        <v>23</v>
      </c>
      <c r="C169">
        <v>26.1</v>
      </c>
      <c r="D169">
        <v>0</v>
      </c>
      <c r="E169" s="2">
        <f>C169*D169 / 100</f>
        <v>0</v>
      </c>
      <c r="F169">
        <f>IF(F168 &lt; 7, F168 +1,1)</f>
        <v>7</v>
      </c>
      <c r="G169">
        <f t="shared" si="2"/>
        <v>168.5</v>
      </c>
    </row>
    <row r="170" spans="1:7">
      <c r="A170" s="1">
        <v>48809</v>
      </c>
      <c r="B170" t="s">
        <v>33</v>
      </c>
      <c r="C170">
        <v>27.6</v>
      </c>
      <c r="D170">
        <v>6.7</v>
      </c>
      <c r="E170" s="2">
        <f>C170*D170 / 100</f>
        <v>1.8492000000000002</v>
      </c>
      <c r="F170">
        <f>IF(F169 &lt; 7, F169 +1,1)</f>
        <v>1</v>
      </c>
      <c r="G170" t="str">
        <f t="shared" si="2"/>
        <v/>
      </c>
    </row>
    <row r="171" spans="1:7">
      <c r="A171" s="1">
        <v>48810</v>
      </c>
      <c r="B171" t="s">
        <v>34</v>
      </c>
      <c r="C171">
        <v>13.2</v>
      </c>
      <c r="D171">
        <v>0</v>
      </c>
      <c r="E171" s="2">
        <f>C171*D171 / 100</f>
        <v>0</v>
      </c>
      <c r="F171">
        <f>IF(F170 &lt; 7, F170 +1,1)</f>
        <v>2</v>
      </c>
      <c r="G171" t="str">
        <f t="shared" si="2"/>
        <v/>
      </c>
    </row>
    <row r="172" spans="1:7">
      <c r="A172" s="1">
        <v>48811</v>
      </c>
      <c r="B172" t="s">
        <v>28</v>
      </c>
      <c r="C172">
        <v>22</v>
      </c>
      <c r="D172">
        <v>0</v>
      </c>
      <c r="E172" s="2">
        <f>C172*D172 / 100</f>
        <v>0</v>
      </c>
      <c r="F172">
        <f>IF(F171 &lt; 7, F171 +1,1)</f>
        <v>3</v>
      </c>
      <c r="G172" t="str">
        <f t="shared" si="2"/>
        <v/>
      </c>
    </row>
    <row r="173" spans="1:7">
      <c r="A173" s="1">
        <v>48812</v>
      </c>
      <c r="B173" t="s">
        <v>26</v>
      </c>
      <c r="C173">
        <v>10.8</v>
      </c>
      <c r="D173">
        <v>7.6</v>
      </c>
      <c r="E173" s="2">
        <f>C173*D173 / 100</f>
        <v>0.82079999999999997</v>
      </c>
      <c r="F173">
        <f>IF(F172 &lt; 7, F172 +1,1)</f>
        <v>4</v>
      </c>
      <c r="G173" t="str">
        <f t="shared" si="2"/>
        <v/>
      </c>
    </row>
    <row r="174" spans="1:7">
      <c r="A174" s="1">
        <v>48813</v>
      </c>
      <c r="B174" t="s">
        <v>21</v>
      </c>
      <c r="C174">
        <v>15.6</v>
      </c>
      <c r="D174">
        <v>38.4</v>
      </c>
      <c r="E174" s="2">
        <f>C174*D174 / 100</f>
        <v>5.9903999999999993</v>
      </c>
      <c r="F174">
        <f>IF(F173 &lt; 7, F173 +1,1)</f>
        <v>5</v>
      </c>
      <c r="G174" t="str">
        <f t="shared" si="2"/>
        <v/>
      </c>
    </row>
    <row r="175" spans="1:7">
      <c r="A175" s="1">
        <v>48814</v>
      </c>
      <c r="B175" t="s">
        <v>12</v>
      </c>
      <c r="C175">
        <v>11.7</v>
      </c>
      <c r="D175">
        <v>0.5</v>
      </c>
      <c r="E175" s="2">
        <f>C175*D175 / 100</f>
        <v>5.8499999999999996E-2</v>
      </c>
      <c r="F175">
        <f>IF(F174 &lt; 7, F174 +1,1)</f>
        <v>6</v>
      </c>
      <c r="G175" t="str">
        <f t="shared" si="2"/>
        <v/>
      </c>
    </row>
    <row r="176" spans="1:7">
      <c r="A176" s="1">
        <v>48815</v>
      </c>
      <c r="B176" t="s">
        <v>21</v>
      </c>
      <c r="C176">
        <v>27.2</v>
      </c>
      <c r="D176">
        <v>8.3000000000000007</v>
      </c>
      <c r="E176" s="2">
        <f>C176*D176 / 100</f>
        <v>2.2576000000000001</v>
      </c>
      <c r="F176">
        <f>IF(F175 &lt; 7, F175 +1,1)</f>
        <v>7</v>
      </c>
      <c r="G176">
        <f t="shared" si="2"/>
        <v>128.1</v>
      </c>
    </row>
    <row r="177" spans="1:7">
      <c r="A177" s="1">
        <v>48816</v>
      </c>
      <c r="B177" t="s">
        <v>21</v>
      </c>
      <c r="C177">
        <v>24.7</v>
      </c>
      <c r="D177">
        <v>28.9</v>
      </c>
      <c r="E177" s="2">
        <f>C177*D177 / 100</f>
        <v>7.1382999999999992</v>
      </c>
      <c r="F177">
        <f>IF(F176 &lt; 7, F176 +1,1)</f>
        <v>1</v>
      </c>
      <c r="G177" t="str">
        <f t="shared" si="2"/>
        <v/>
      </c>
    </row>
    <row r="178" spans="1:7">
      <c r="A178" s="1">
        <v>48817</v>
      </c>
      <c r="B178" t="s">
        <v>9</v>
      </c>
      <c r="C178">
        <v>18.2</v>
      </c>
      <c r="D178">
        <v>12.5</v>
      </c>
      <c r="E178" s="2">
        <f>C178*D178 / 100</f>
        <v>2.2749999999999999</v>
      </c>
      <c r="F178">
        <f>IF(F177 &lt; 7, F177 +1,1)</f>
        <v>2</v>
      </c>
      <c r="G178" t="str">
        <f t="shared" si="2"/>
        <v/>
      </c>
    </row>
    <row r="179" spans="1:7">
      <c r="A179" s="1">
        <v>48818</v>
      </c>
      <c r="B179" t="s">
        <v>9</v>
      </c>
      <c r="C179">
        <v>14.6</v>
      </c>
      <c r="D179">
        <v>17.899999999999999</v>
      </c>
      <c r="E179" s="2">
        <f>C179*D179 / 100</f>
        <v>2.6133999999999999</v>
      </c>
      <c r="F179">
        <f>IF(F178 &lt; 7, F178 +1,1)</f>
        <v>3</v>
      </c>
      <c r="G179" t="str">
        <f t="shared" si="2"/>
        <v/>
      </c>
    </row>
    <row r="180" spans="1:7">
      <c r="A180" s="1">
        <v>48819</v>
      </c>
      <c r="B180" t="s">
        <v>9</v>
      </c>
      <c r="C180">
        <v>16.5</v>
      </c>
      <c r="D180">
        <v>13.9</v>
      </c>
      <c r="E180" s="2">
        <f>C180*D180 / 100</f>
        <v>2.2934999999999999</v>
      </c>
      <c r="F180">
        <f>IF(F179 &lt; 7, F179 +1,1)</f>
        <v>4</v>
      </c>
      <c r="G180" t="str">
        <f t="shared" si="2"/>
        <v/>
      </c>
    </row>
    <row r="181" spans="1:7">
      <c r="A181" s="1">
        <v>48820</v>
      </c>
      <c r="B181" t="s">
        <v>29</v>
      </c>
      <c r="C181">
        <v>29.4</v>
      </c>
      <c r="D181">
        <v>0</v>
      </c>
      <c r="E181" s="2">
        <f>C181*D181 / 100</f>
        <v>0</v>
      </c>
      <c r="F181">
        <f>IF(F180 &lt; 7, F180 +1,1)</f>
        <v>5</v>
      </c>
      <c r="G181" t="str">
        <f t="shared" si="2"/>
        <v/>
      </c>
    </row>
    <row r="182" spans="1:7">
      <c r="A182" s="1">
        <v>48821</v>
      </c>
      <c r="B182" t="s">
        <v>21</v>
      </c>
      <c r="C182">
        <v>17.899999999999999</v>
      </c>
      <c r="D182">
        <v>0</v>
      </c>
      <c r="E182" s="2">
        <f>C182*D182 / 100</f>
        <v>0</v>
      </c>
      <c r="F182">
        <f>IF(F181 &lt; 7, F181 +1,1)</f>
        <v>6</v>
      </c>
      <c r="G182" t="str">
        <f t="shared" si="2"/>
        <v/>
      </c>
    </row>
    <row r="183" spans="1:7">
      <c r="A183" s="1">
        <v>48822</v>
      </c>
      <c r="B183" t="s">
        <v>23</v>
      </c>
      <c r="C183">
        <v>29.8</v>
      </c>
      <c r="D183">
        <v>0</v>
      </c>
      <c r="E183" s="2">
        <f>C183*D183 / 100</f>
        <v>0</v>
      </c>
      <c r="F183">
        <f>IF(F182 &lt; 7, F182 +1,1)</f>
        <v>7</v>
      </c>
      <c r="G183">
        <f t="shared" si="2"/>
        <v>151.10000000000002</v>
      </c>
    </row>
    <row r="184" spans="1:7">
      <c r="A184" s="1">
        <v>48823</v>
      </c>
      <c r="B184" t="s">
        <v>15</v>
      </c>
      <c r="C184">
        <v>18.7</v>
      </c>
      <c r="D184">
        <v>0</v>
      </c>
      <c r="E184" s="2">
        <f>C184*D184 / 100</f>
        <v>0</v>
      </c>
      <c r="F184">
        <f>IF(F183 &lt; 7, F183 +1,1)</f>
        <v>1</v>
      </c>
      <c r="G184" t="str">
        <f t="shared" si="2"/>
        <v/>
      </c>
    </row>
    <row r="185" spans="1:7">
      <c r="A185" s="1">
        <v>48824</v>
      </c>
      <c r="B185" t="s">
        <v>34</v>
      </c>
      <c r="C185">
        <v>24.3</v>
      </c>
      <c r="D185">
        <v>7.8</v>
      </c>
      <c r="E185" s="2">
        <f>C185*D185 / 100</f>
        <v>1.8954</v>
      </c>
      <c r="F185">
        <f>IF(F184 &lt; 7, F184 +1,1)</f>
        <v>2</v>
      </c>
      <c r="G185" t="str">
        <f t="shared" si="2"/>
        <v/>
      </c>
    </row>
    <row r="186" spans="1:7">
      <c r="A186" s="1">
        <v>48825</v>
      </c>
      <c r="B186" t="s">
        <v>19</v>
      </c>
      <c r="C186">
        <v>29.3</v>
      </c>
      <c r="D186">
        <v>4.5999999999999996</v>
      </c>
      <c r="E186" s="2">
        <f>C186*D186 / 100</f>
        <v>1.3478000000000001</v>
      </c>
      <c r="F186">
        <f>IF(F185 &lt; 7, F185 +1,1)</f>
        <v>3</v>
      </c>
      <c r="G186" t="str">
        <f t="shared" si="2"/>
        <v/>
      </c>
    </row>
    <row r="187" spans="1:7">
      <c r="A187" s="1">
        <v>48826</v>
      </c>
      <c r="B187" t="s">
        <v>16</v>
      </c>
      <c r="C187">
        <v>18.399999999999999</v>
      </c>
      <c r="D187">
        <v>0</v>
      </c>
      <c r="E187" s="2">
        <f>C187*D187 / 100</f>
        <v>0</v>
      </c>
      <c r="F187">
        <f>IF(F186 &lt; 7, F186 +1,1)</f>
        <v>4</v>
      </c>
      <c r="G187" t="str">
        <f t="shared" si="2"/>
        <v/>
      </c>
    </row>
    <row r="188" spans="1:7">
      <c r="A188" s="1">
        <v>48827</v>
      </c>
      <c r="B188" t="s">
        <v>16</v>
      </c>
      <c r="C188">
        <v>10.3</v>
      </c>
      <c r="D188">
        <v>16</v>
      </c>
      <c r="E188" s="2">
        <f>C188*D188 / 100</f>
        <v>1.6480000000000001</v>
      </c>
      <c r="F188">
        <f>IF(F187 &lt; 7, F187 +1,1)</f>
        <v>5</v>
      </c>
      <c r="G188" t="str">
        <f t="shared" si="2"/>
        <v/>
      </c>
    </row>
    <row r="189" spans="1:7">
      <c r="A189" s="1">
        <v>48828</v>
      </c>
      <c r="B189" t="s">
        <v>21</v>
      </c>
      <c r="C189">
        <v>27.5</v>
      </c>
      <c r="D189">
        <v>0</v>
      </c>
      <c r="E189" s="2">
        <f>C189*D189 / 100</f>
        <v>0</v>
      </c>
      <c r="F189">
        <f>IF(F188 &lt; 7, F188 +1,1)</f>
        <v>6</v>
      </c>
      <c r="G189" t="str">
        <f t="shared" si="2"/>
        <v/>
      </c>
    </row>
    <row r="190" spans="1:7">
      <c r="A190" s="1">
        <v>48829</v>
      </c>
      <c r="B190" t="s">
        <v>16</v>
      </c>
      <c r="C190">
        <v>20.6</v>
      </c>
      <c r="D190">
        <v>15.7</v>
      </c>
      <c r="E190" s="2">
        <f>C190*D190 / 100</f>
        <v>3.2342</v>
      </c>
      <c r="F190">
        <f>IF(F189 &lt; 7, F189 +1,1)</f>
        <v>7</v>
      </c>
      <c r="G190">
        <f t="shared" si="2"/>
        <v>149.1</v>
      </c>
    </row>
    <row r="191" spans="1:7">
      <c r="A191" s="1">
        <v>48830</v>
      </c>
      <c r="B191" t="s">
        <v>9</v>
      </c>
      <c r="C191">
        <v>21.3</v>
      </c>
      <c r="D191">
        <v>0</v>
      </c>
      <c r="E191" s="2">
        <f>C191*D191 / 100</f>
        <v>0</v>
      </c>
      <c r="F191">
        <f>IF(F190 &lt; 7, F190 +1,1)</f>
        <v>1</v>
      </c>
      <c r="G191" t="str">
        <f t="shared" si="2"/>
        <v/>
      </c>
    </row>
    <row r="192" spans="1:7">
      <c r="A192" s="1">
        <v>48831</v>
      </c>
      <c r="B192" t="s">
        <v>36</v>
      </c>
      <c r="C192">
        <v>26.2</v>
      </c>
      <c r="D192">
        <v>0</v>
      </c>
      <c r="E192" s="2">
        <f>C192*D192 / 100</f>
        <v>0</v>
      </c>
      <c r="F192">
        <f>IF(F191 &lt; 7, F191 +1,1)</f>
        <v>2</v>
      </c>
      <c r="G192" t="str">
        <f t="shared" si="2"/>
        <v/>
      </c>
    </row>
    <row r="193" spans="1:7">
      <c r="A193" s="1">
        <v>48832</v>
      </c>
      <c r="B193" t="s">
        <v>21</v>
      </c>
      <c r="C193">
        <v>23.9</v>
      </c>
      <c r="D193">
        <v>0</v>
      </c>
      <c r="E193" s="2">
        <f>C193*D193 / 100</f>
        <v>0</v>
      </c>
      <c r="F193">
        <f>IF(F192 &lt; 7, F192 +1,1)</f>
        <v>3</v>
      </c>
      <c r="G193" t="str">
        <f t="shared" si="2"/>
        <v/>
      </c>
    </row>
    <row r="194" spans="1:7">
      <c r="A194" s="1">
        <v>48833</v>
      </c>
      <c r="B194" t="s">
        <v>14</v>
      </c>
      <c r="C194">
        <v>26.6</v>
      </c>
      <c r="D194">
        <v>1.6</v>
      </c>
      <c r="E194" s="2">
        <f>C194*D194 / 100</f>
        <v>0.42560000000000003</v>
      </c>
      <c r="F194">
        <f>IF(F193 &lt; 7, F193 +1,1)</f>
        <v>4</v>
      </c>
      <c r="G194" t="str">
        <f t="shared" si="2"/>
        <v/>
      </c>
    </row>
    <row r="195" spans="1:7">
      <c r="A195" s="1">
        <v>48834</v>
      </c>
      <c r="B195" t="s">
        <v>21</v>
      </c>
      <c r="C195">
        <v>18.600000000000001</v>
      </c>
      <c r="D195">
        <v>20.399999999999999</v>
      </c>
      <c r="E195" s="2">
        <f>C195*D195 / 100</f>
        <v>3.7944</v>
      </c>
      <c r="F195">
        <f>IF(F194 &lt; 7, F194 +1,1)</f>
        <v>5</v>
      </c>
      <c r="G195" t="str">
        <f t="shared" si="2"/>
        <v/>
      </c>
    </row>
    <row r="196" spans="1:7">
      <c r="A196" s="1">
        <v>48835</v>
      </c>
      <c r="B196" t="s">
        <v>29</v>
      </c>
      <c r="C196">
        <v>22.3</v>
      </c>
      <c r="D196">
        <v>1.7</v>
      </c>
      <c r="E196" s="2">
        <f>C196*D196 / 100</f>
        <v>0.37910000000000005</v>
      </c>
      <c r="F196">
        <f>IF(F195 &lt; 7, F195 +1,1)</f>
        <v>6</v>
      </c>
      <c r="G196" t="str">
        <f t="shared" si="2"/>
        <v/>
      </c>
    </row>
    <row r="197" spans="1:7">
      <c r="A197" s="1">
        <v>48836</v>
      </c>
      <c r="B197" t="s">
        <v>23</v>
      </c>
      <c r="C197">
        <v>18.399999999999999</v>
      </c>
      <c r="D197">
        <v>3.9</v>
      </c>
      <c r="E197" s="2">
        <f>C197*D197 / 100</f>
        <v>0.7175999999999999</v>
      </c>
      <c r="F197">
        <f>IF(F196 &lt; 7, F196 +1,1)</f>
        <v>7</v>
      </c>
      <c r="G197">
        <f t="shared" si="2"/>
        <v>157.30000000000001</v>
      </c>
    </row>
    <row r="198" spans="1:7">
      <c r="A198" s="1">
        <v>48837</v>
      </c>
      <c r="B198" t="s">
        <v>14</v>
      </c>
      <c r="C198">
        <v>28</v>
      </c>
      <c r="D198">
        <v>4.4000000000000004</v>
      </c>
      <c r="E198" s="2">
        <f>C198*D198 / 100</f>
        <v>1.2320000000000002</v>
      </c>
      <c r="F198">
        <f>IF(F197 &lt; 7, F197 +1,1)</f>
        <v>1</v>
      </c>
      <c r="G198" t="str">
        <f t="shared" si="2"/>
        <v/>
      </c>
    </row>
    <row r="199" spans="1:7">
      <c r="A199" s="1">
        <v>48838</v>
      </c>
      <c r="B199" t="s">
        <v>21</v>
      </c>
      <c r="C199">
        <v>10.9</v>
      </c>
      <c r="D199">
        <v>32.9</v>
      </c>
      <c r="E199" s="2">
        <f>C199*D199 / 100</f>
        <v>3.5861000000000001</v>
      </c>
      <c r="F199">
        <f>IF(F198 &lt; 7, F198 +1,1)</f>
        <v>2</v>
      </c>
      <c r="G199" t="str">
        <f t="shared" si="2"/>
        <v/>
      </c>
    </row>
    <row r="200" spans="1:7">
      <c r="A200" s="1">
        <v>48839</v>
      </c>
      <c r="B200" t="s">
        <v>36</v>
      </c>
      <c r="C200">
        <v>25.1</v>
      </c>
      <c r="D200">
        <v>33.299999999999997</v>
      </c>
      <c r="E200" s="2">
        <f>C200*D200 / 100</f>
        <v>8.3582999999999998</v>
      </c>
      <c r="F200">
        <f>IF(F199 &lt; 7, F199 +1,1)</f>
        <v>3</v>
      </c>
      <c r="G200" t="str">
        <f t="shared" si="2"/>
        <v/>
      </c>
    </row>
    <row r="201" spans="1:7">
      <c r="A201" s="1">
        <v>48840</v>
      </c>
      <c r="B201" t="s">
        <v>5</v>
      </c>
      <c r="C201">
        <v>10.7</v>
      </c>
      <c r="D201">
        <v>0.3</v>
      </c>
      <c r="E201" s="2">
        <f>C201*D201 / 100</f>
        <v>3.2099999999999997E-2</v>
      </c>
      <c r="F201">
        <f>IF(F200 &lt; 7, F200 +1,1)</f>
        <v>4</v>
      </c>
      <c r="G201" t="str">
        <f t="shared" ref="G201:G264" si="3">IF(F201=7, SUM(C195:C201), "")</f>
        <v/>
      </c>
    </row>
    <row r="202" spans="1:7">
      <c r="A202" s="1">
        <v>48841</v>
      </c>
      <c r="B202" t="s">
        <v>21</v>
      </c>
      <c r="C202">
        <v>26.1</v>
      </c>
      <c r="D202">
        <v>31</v>
      </c>
      <c r="E202" s="2">
        <f>C202*D202 / 100</f>
        <v>8.0910000000000011</v>
      </c>
      <c r="F202">
        <f>IF(F201 &lt; 7, F201 +1,1)</f>
        <v>5</v>
      </c>
      <c r="G202" t="str">
        <f t="shared" si="3"/>
        <v/>
      </c>
    </row>
    <row r="203" spans="1:7">
      <c r="A203" s="1">
        <v>48842</v>
      </c>
      <c r="B203" t="s">
        <v>9</v>
      </c>
      <c r="C203">
        <v>15.2</v>
      </c>
      <c r="D203">
        <v>12.7</v>
      </c>
      <c r="E203" s="2">
        <f>C203*D203 / 100</f>
        <v>1.9303999999999999</v>
      </c>
      <c r="F203">
        <f>IF(F202 &lt; 7, F202 +1,1)</f>
        <v>6</v>
      </c>
      <c r="G203" t="str">
        <f t="shared" si="3"/>
        <v/>
      </c>
    </row>
    <row r="204" spans="1:7">
      <c r="A204" s="1">
        <v>48843</v>
      </c>
      <c r="B204" t="s">
        <v>11</v>
      </c>
      <c r="C204">
        <v>28.8</v>
      </c>
      <c r="D204">
        <v>4.3</v>
      </c>
      <c r="E204" s="2">
        <f>C204*D204 / 100</f>
        <v>1.2383999999999999</v>
      </c>
      <c r="F204">
        <f>IF(F203 &lt; 7, F203 +1,1)</f>
        <v>7</v>
      </c>
      <c r="G204">
        <f t="shared" si="3"/>
        <v>144.80000000000001</v>
      </c>
    </row>
    <row r="205" spans="1:7">
      <c r="A205" s="1">
        <v>48844</v>
      </c>
      <c r="B205" t="s">
        <v>12</v>
      </c>
      <c r="C205">
        <v>10.3</v>
      </c>
      <c r="D205">
        <v>0</v>
      </c>
      <c r="E205" s="2">
        <f>C205*D205 / 100</f>
        <v>0</v>
      </c>
      <c r="F205">
        <f>IF(F204 &lt; 7, F204 +1,1)</f>
        <v>1</v>
      </c>
      <c r="G205" t="str">
        <f t="shared" si="3"/>
        <v/>
      </c>
    </row>
    <row r="206" spans="1:7">
      <c r="A206" s="1">
        <v>48845</v>
      </c>
      <c r="B206" t="s">
        <v>30</v>
      </c>
      <c r="C206">
        <v>14.9</v>
      </c>
      <c r="D206">
        <v>0.1</v>
      </c>
      <c r="E206" s="2">
        <f>C206*D206 / 100</f>
        <v>1.4900000000000002E-2</v>
      </c>
      <c r="F206">
        <f>IF(F205 &lt; 7, F205 +1,1)</f>
        <v>2</v>
      </c>
      <c r="G206" t="str">
        <f t="shared" si="3"/>
        <v/>
      </c>
    </row>
    <row r="207" spans="1:7">
      <c r="A207" s="1">
        <v>48846</v>
      </c>
      <c r="B207" t="s">
        <v>21</v>
      </c>
      <c r="C207">
        <v>11.3</v>
      </c>
      <c r="D207">
        <v>0</v>
      </c>
      <c r="E207" s="2">
        <f>C207*D207 / 100</f>
        <v>0</v>
      </c>
      <c r="F207">
        <f>IF(F206 &lt; 7, F206 +1,1)</f>
        <v>3</v>
      </c>
      <c r="G207" t="str">
        <f t="shared" si="3"/>
        <v/>
      </c>
    </row>
    <row r="208" spans="1:7">
      <c r="A208" s="1">
        <v>48847</v>
      </c>
      <c r="B208" t="s">
        <v>21</v>
      </c>
      <c r="C208">
        <v>20.8</v>
      </c>
      <c r="D208">
        <v>34.9</v>
      </c>
      <c r="E208" s="2">
        <f>C208*D208 / 100</f>
        <v>7.2591999999999999</v>
      </c>
      <c r="F208">
        <f>IF(F207 &lt; 7, F207 +1,1)</f>
        <v>4</v>
      </c>
      <c r="G208" t="str">
        <f t="shared" si="3"/>
        <v/>
      </c>
    </row>
    <row r="209" spans="1:7">
      <c r="A209" s="1">
        <v>48848</v>
      </c>
      <c r="B209" t="s">
        <v>36</v>
      </c>
      <c r="C209">
        <v>18.2</v>
      </c>
      <c r="D209">
        <v>0</v>
      </c>
      <c r="E209" s="2">
        <f>C209*D209 / 100</f>
        <v>0</v>
      </c>
      <c r="F209">
        <f>IF(F208 &lt; 7, F208 +1,1)</f>
        <v>5</v>
      </c>
      <c r="G209" t="str">
        <f t="shared" si="3"/>
        <v/>
      </c>
    </row>
    <row r="210" spans="1:7">
      <c r="A210" s="1">
        <v>48849</v>
      </c>
      <c r="B210" t="s">
        <v>23</v>
      </c>
      <c r="C210">
        <v>12.7</v>
      </c>
      <c r="D210">
        <v>5.3</v>
      </c>
      <c r="E210" s="2">
        <f>C210*D210 / 100</f>
        <v>0.67309999999999992</v>
      </c>
      <c r="F210">
        <f>IF(F209 &lt; 7, F209 +1,1)</f>
        <v>6</v>
      </c>
      <c r="G210" t="str">
        <f t="shared" si="3"/>
        <v/>
      </c>
    </row>
    <row r="211" spans="1:7">
      <c r="A211" s="1">
        <v>48850</v>
      </c>
      <c r="B211" t="s">
        <v>11</v>
      </c>
      <c r="C211">
        <v>21.4</v>
      </c>
      <c r="D211">
        <v>8.3000000000000007</v>
      </c>
      <c r="E211" s="2">
        <f>C211*D211 / 100</f>
        <v>1.7762</v>
      </c>
      <c r="F211">
        <f>IF(F210 &lt; 7, F210 +1,1)</f>
        <v>7</v>
      </c>
      <c r="G211">
        <f t="shared" si="3"/>
        <v>109.6</v>
      </c>
    </row>
    <row r="212" spans="1:7">
      <c r="A212" s="1">
        <v>48851</v>
      </c>
      <c r="B212" t="s">
        <v>30</v>
      </c>
      <c r="C212">
        <v>21.3</v>
      </c>
      <c r="D212">
        <v>11.8</v>
      </c>
      <c r="E212" s="2">
        <f>C212*D212 / 100</f>
        <v>2.5134000000000003</v>
      </c>
      <c r="F212">
        <f>IF(F211 &lt; 7, F211 +1,1)</f>
        <v>1</v>
      </c>
      <c r="G212" t="str">
        <f t="shared" si="3"/>
        <v/>
      </c>
    </row>
    <row r="213" spans="1:7">
      <c r="A213" s="1">
        <v>48852</v>
      </c>
      <c r="B213" t="s">
        <v>23</v>
      </c>
      <c r="C213">
        <v>20.7</v>
      </c>
      <c r="D213">
        <v>3.9</v>
      </c>
      <c r="E213" s="2">
        <f>C213*D213 / 100</f>
        <v>0.80729999999999991</v>
      </c>
      <c r="F213">
        <f>IF(F212 &lt; 7, F212 +1,1)</f>
        <v>2</v>
      </c>
      <c r="G213" t="str">
        <f t="shared" si="3"/>
        <v/>
      </c>
    </row>
    <row r="214" spans="1:7">
      <c r="A214" s="1">
        <v>48853</v>
      </c>
      <c r="B214" t="s">
        <v>18</v>
      </c>
      <c r="C214">
        <v>19.7</v>
      </c>
      <c r="D214">
        <v>0</v>
      </c>
      <c r="E214" s="2">
        <f>C214*D214 / 100</f>
        <v>0</v>
      </c>
      <c r="F214">
        <f>IF(F213 &lt; 7, F213 +1,1)</f>
        <v>3</v>
      </c>
      <c r="G214" t="str">
        <f t="shared" si="3"/>
        <v/>
      </c>
    </row>
    <row r="215" spans="1:7">
      <c r="A215" s="1">
        <v>48854</v>
      </c>
      <c r="B215" t="s">
        <v>9</v>
      </c>
      <c r="C215">
        <v>27.2</v>
      </c>
      <c r="D215">
        <v>17.600000000000001</v>
      </c>
      <c r="E215" s="2">
        <f>C215*D215 / 100</f>
        <v>4.7872000000000003</v>
      </c>
      <c r="F215">
        <f>IF(F214 &lt; 7, F214 +1,1)</f>
        <v>4</v>
      </c>
      <c r="G215" t="str">
        <f t="shared" si="3"/>
        <v/>
      </c>
    </row>
    <row r="216" spans="1:7">
      <c r="A216" s="1">
        <v>48855</v>
      </c>
      <c r="B216" t="s">
        <v>35</v>
      </c>
      <c r="C216">
        <v>16.600000000000001</v>
      </c>
      <c r="D216">
        <v>1.7</v>
      </c>
      <c r="E216" s="2">
        <f>C216*D216 / 100</f>
        <v>0.28220000000000001</v>
      </c>
      <c r="F216">
        <f>IF(F215 &lt; 7, F215 +1,1)</f>
        <v>5</v>
      </c>
      <c r="G216" t="str">
        <f t="shared" si="3"/>
        <v/>
      </c>
    </row>
    <row r="217" spans="1:7">
      <c r="A217" s="1">
        <v>48856</v>
      </c>
      <c r="B217" t="s">
        <v>9</v>
      </c>
      <c r="C217">
        <v>22.3</v>
      </c>
      <c r="D217">
        <v>0</v>
      </c>
      <c r="E217" s="2">
        <f>C217*D217 / 100</f>
        <v>0</v>
      </c>
      <c r="F217">
        <f>IF(F216 &lt; 7, F216 +1,1)</f>
        <v>6</v>
      </c>
      <c r="G217" t="str">
        <f t="shared" si="3"/>
        <v/>
      </c>
    </row>
    <row r="218" spans="1:7">
      <c r="A218" s="1">
        <v>48857</v>
      </c>
      <c r="B218" t="s">
        <v>21</v>
      </c>
      <c r="C218">
        <v>18</v>
      </c>
      <c r="D218">
        <v>40.799999999999997</v>
      </c>
      <c r="E218" s="2">
        <f>C218*D218 / 100</f>
        <v>7.3439999999999994</v>
      </c>
      <c r="F218">
        <f>IF(F217 &lt; 7, F217 +1,1)</f>
        <v>7</v>
      </c>
      <c r="G218">
        <f t="shared" si="3"/>
        <v>145.80000000000001</v>
      </c>
    </row>
    <row r="219" spans="1:7">
      <c r="A219" s="1">
        <v>48858</v>
      </c>
      <c r="B219" t="s">
        <v>13</v>
      </c>
      <c r="C219">
        <v>21.8</v>
      </c>
      <c r="D219">
        <v>0</v>
      </c>
      <c r="E219" s="2">
        <f>C219*D219 / 100</f>
        <v>0</v>
      </c>
      <c r="F219">
        <f>IF(F218 &lt; 7, F218 +1,1)</f>
        <v>1</v>
      </c>
      <c r="G219" t="str">
        <f t="shared" si="3"/>
        <v/>
      </c>
    </row>
    <row r="220" spans="1:7">
      <c r="A220" s="1">
        <v>48859</v>
      </c>
      <c r="B220" t="s">
        <v>30</v>
      </c>
      <c r="C220">
        <v>22.2</v>
      </c>
      <c r="D220">
        <v>11.2</v>
      </c>
      <c r="E220" s="2">
        <f>C220*D220 / 100</f>
        <v>2.4863999999999997</v>
      </c>
      <c r="F220">
        <f>IF(F219 &lt; 7, F219 +1,1)</f>
        <v>2</v>
      </c>
      <c r="G220" t="str">
        <f t="shared" si="3"/>
        <v/>
      </c>
    </row>
    <row r="221" spans="1:7">
      <c r="A221" s="1">
        <v>48860</v>
      </c>
      <c r="B221" t="s">
        <v>30</v>
      </c>
      <c r="C221">
        <v>20</v>
      </c>
      <c r="D221">
        <v>0</v>
      </c>
      <c r="E221" s="2">
        <f>C221*D221 / 100</f>
        <v>0</v>
      </c>
      <c r="F221">
        <f>IF(F220 &lt; 7, F220 +1,1)</f>
        <v>3</v>
      </c>
      <c r="G221" t="str">
        <f t="shared" si="3"/>
        <v/>
      </c>
    </row>
    <row r="222" spans="1:7">
      <c r="A222" s="1">
        <v>48861</v>
      </c>
      <c r="B222" t="s">
        <v>27</v>
      </c>
      <c r="C222">
        <v>29.4</v>
      </c>
      <c r="D222">
        <v>0.7</v>
      </c>
      <c r="E222" s="2">
        <f>C222*D222 / 100</f>
        <v>0.20579999999999998</v>
      </c>
      <c r="F222">
        <f>IF(F221 &lt; 7, F221 +1,1)</f>
        <v>4</v>
      </c>
      <c r="G222" t="str">
        <f t="shared" si="3"/>
        <v/>
      </c>
    </row>
    <row r="223" spans="1:7">
      <c r="A223" s="1">
        <v>48862</v>
      </c>
      <c r="B223" t="s">
        <v>21</v>
      </c>
      <c r="C223">
        <v>23.6</v>
      </c>
      <c r="D223">
        <v>0</v>
      </c>
      <c r="E223" s="2">
        <f>C223*D223 / 100</f>
        <v>0</v>
      </c>
      <c r="F223">
        <f>IF(F222 &lt; 7, F222 +1,1)</f>
        <v>5</v>
      </c>
      <c r="G223" t="str">
        <f t="shared" si="3"/>
        <v/>
      </c>
    </row>
    <row r="224" spans="1:7">
      <c r="A224" s="1">
        <v>48863</v>
      </c>
      <c r="B224" t="s">
        <v>16</v>
      </c>
      <c r="C224">
        <v>16.3</v>
      </c>
      <c r="D224">
        <v>22</v>
      </c>
      <c r="E224" s="2">
        <f>C224*D224 / 100</f>
        <v>3.5860000000000003</v>
      </c>
      <c r="F224">
        <f>IF(F223 &lt; 7, F223 +1,1)</f>
        <v>6</v>
      </c>
      <c r="G224" t="str">
        <f t="shared" si="3"/>
        <v/>
      </c>
    </row>
    <row r="225" spans="1:7">
      <c r="A225" s="1">
        <v>48864</v>
      </c>
      <c r="B225" t="s">
        <v>33</v>
      </c>
      <c r="C225">
        <v>15</v>
      </c>
      <c r="D225">
        <v>0</v>
      </c>
      <c r="E225" s="2">
        <f>C225*D225 / 100</f>
        <v>0</v>
      </c>
      <c r="F225">
        <f>IF(F224 &lt; 7, F224 +1,1)</f>
        <v>7</v>
      </c>
      <c r="G225">
        <f t="shared" si="3"/>
        <v>148.30000000000001</v>
      </c>
    </row>
    <row r="226" spans="1:7">
      <c r="A226" s="1">
        <v>48865</v>
      </c>
      <c r="B226" t="s">
        <v>11</v>
      </c>
      <c r="C226">
        <v>10.8</v>
      </c>
      <c r="D226">
        <v>0</v>
      </c>
      <c r="E226" s="2">
        <f>C226*D226 / 100</f>
        <v>0</v>
      </c>
      <c r="F226">
        <f>IF(F225 &lt; 7, F225 +1,1)</f>
        <v>1</v>
      </c>
      <c r="G226" t="str">
        <f t="shared" si="3"/>
        <v/>
      </c>
    </row>
    <row r="227" spans="1:7">
      <c r="A227" s="1">
        <v>48866</v>
      </c>
      <c r="B227" t="s">
        <v>36</v>
      </c>
      <c r="C227">
        <v>10.5</v>
      </c>
      <c r="D227">
        <v>0</v>
      </c>
      <c r="E227" s="2">
        <f>C227*D227 / 100</f>
        <v>0</v>
      </c>
      <c r="F227">
        <f>IF(F226 &lt; 7, F226 +1,1)</f>
        <v>2</v>
      </c>
      <c r="G227" t="str">
        <f t="shared" si="3"/>
        <v/>
      </c>
    </row>
    <row r="228" spans="1:7">
      <c r="A228" s="1">
        <v>48867</v>
      </c>
      <c r="B228" t="s">
        <v>10</v>
      </c>
      <c r="C228">
        <v>20.3</v>
      </c>
      <c r="D228">
        <v>0</v>
      </c>
      <c r="E228" s="2">
        <f>C228*D228 / 100</f>
        <v>0</v>
      </c>
      <c r="F228">
        <f>IF(F227 &lt; 7, F227 +1,1)</f>
        <v>3</v>
      </c>
      <c r="G228" t="str">
        <f t="shared" si="3"/>
        <v/>
      </c>
    </row>
    <row r="229" spans="1:7">
      <c r="A229" s="1">
        <v>48868</v>
      </c>
      <c r="B229" t="s">
        <v>21</v>
      </c>
      <c r="C229">
        <v>13.1</v>
      </c>
      <c r="D229">
        <v>50.4</v>
      </c>
      <c r="E229" s="2">
        <f>C229*D229 / 100</f>
        <v>6.6024000000000003</v>
      </c>
      <c r="F229">
        <f>IF(F228 &lt; 7, F228 +1,1)</f>
        <v>4</v>
      </c>
      <c r="G229" t="str">
        <f t="shared" si="3"/>
        <v/>
      </c>
    </row>
    <row r="230" spans="1:7">
      <c r="A230" s="1">
        <v>48869</v>
      </c>
      <c r="B230" t="s">
        <v>34</v>
      </c>
      <c r="C230">
        <v>24.8</v>
      </c>
      <c r="D230">
        <v>7.9</v>
      </c>
      <c r="E230" s="2">
        <f>C230*D230 / 100</f>
        <v>1.9592000000000001</v>
      </c>
      <c r="F230">
        <f>IF(F229 &lt; 7, F229 +1,1)</f>
        <v>5</v>
      </c>
      <c r="G230" t="str">
        <f t="shared" si="3"/>
        <v/>
      </c>
    </row>
    <row r="231" spans="1:7">
      <c r="A231" s="1">
        <v>48870</v>
      </c>
      <c r="B231" t="s">
        <v>9</v>
      </c>
      <c r="C231">
        <v>23.6</v>
      </c>
      <c r="D231">
        <v>0.8</v>
      </c>
      <c r="E231" s="2">
        <f>C231*D231 / 100</f>
        <v>0.18880000000000002</v>
      </c>
      <c r="F231">
        <f>IF(F230 &lt; 7, F230 +1,1)</f>
        <v>6</v>
      </c>
      <c r="G231" t="str">
        <f t="shared" si="3"/>
        <v/>
      </c>
    </row>
    <row r="232" spans="1:7">
      <c r="A232" s="1">
        <v>48871</v>
      </c>
      <c r="B232" t="s">
        <v>23</v>
      </c>
      <c r="C232">
        <v>17.899999999999999</v>
      </c>
      <c r="D232">
        <v>0</v>
      </c>
      <c r="E232" s="2">
        <f>C232*D232 / 100</f>
        <v>0</v>
      </c>
      <c r="F232">
        <f>IF(F231 &lt; 7, F231 +1,1)</f>
        <v>7</v>
      </c>
      <c r="G232">
        <f t="shared" si="3"/>
        <v>121</v>
      </c>
    </row>
    <row r="233" spans="1:7">
      <c r="A233" s="1">
        <v>48872</v>
      </c>
      <c r="B233" t="s">
        <v>34</v>
      </c>
      <c r="C233">
        <v>23.2</v>
      </c>
      <c r="D233">
        <v>3</v>
      </c>
      <c r="E233" s="2">
        <f>C233*D233 / 100</f>
        <v>0.69599999999999995</v>
      </c>
      <c r="F233">
        <f>IF(F232 &lt; 7, F232 +1,1)</f>
        <v>1</v>
      </c>
      <c r="G233" t="str">
        <f t="shared" si="3"/>
        <v/>
      </c>
    </row>
    <row r="234" spans="1:7">
      <c r="A234" s="1">
        <v>48873</v>
      </c>
      <c r="B234" t="s">
        <v>22</v>
      </c>
      <c r="C234">
        <v>21.8</v>
      </c>
      <c r="D234">
        <v>2</v>
      </c>
      <c r="E234" s="2">
        <f>C234*D234 / 100</f>
        <v>0.436</v>
      </c>
      <c r="F234">
        <f>IF(F233 &lt; 7, F233 +1,1)</f>
        <v>2</v>
      </c>
      <c r="G234" t="str">
        <f t="shared" si="3"/>
        <v/>
      </c>
    </row>
    <row r="235" spans="1:7">
      <c r="A235" s="1">
        <v>48874</v>
      </c>
      <c r="B235" t="s">
        <v>12</v>
      </c>
      <c r="C235">
        <v>22.2</v>
      </c>
      <c r="D235">
        <v>3.1</v>
      </c>
      <c r="E235" s="2">
        <f>C235*D235 / 100</f>
        <v>0.68819999999999992</v>
      </c>
      <c r="F235">
        <f>IF(F234 &lt; 7, F234 +1,1)</f>
        <v>3</v>
      </c>
      <c r="G235" t="str">
        <f t="shared" si="3"/>
        <v/>
      </c>
    </row>
    <row r="236" spans="1:7">
      <c r="A236" s="1">
        <v>48875</v>
      </c>
      <c r="B236" t="s">
        <v>33</v>
      </c>
      <c r="C236">
        <v>29</v>
      </c>
      <c r="D236">
        <v>16.399999999999999</v>
      </c>
      <c r="E236" s="2">
        <f>C236*D236 / 100</f>
        <v>4.7559999999999993</v>
      </c>
      <c r="F236">
        <f>IF(F235 &lt; 7, F235 +1,1)</f>
        <v>4</v>
      </c>
      <c r="G236" t="str">
        <f t="shared" si="3"/>
        <v/>
      </c>
    </row>
    <row r="237" spans="1:7">
      <c r="A237" s="1">
        <v>48876</v>
      </c>
      <c r="B237" t="s">
        <v>13</v>
      </c>
      <c r="C237">
        <v>24.6</v>
      </c>
      <c r="D237">
        <v>1.7</v>
      </c>
      <c r="E237" s="2">
        <f>C237*D237 / 100</f>
        <v>0.41820000000000002</v>
      </c>
      <c r="F237">
        <f>IF(F236 &lt; 7, F236 +1,1)</f>
        <v>5</v>
      </c>
      <c r="G237" t="str">
        <f t="shared" si="3"/>
        <v/>
      </c>
    </row>
    <row r="238" spans="1:7">
      <c r="A238" s="1">
        <v>48877</v>
      </c>
      <c r="B238" t="s">
        <v>34</v>
      </c>
      <c r="C238">
        <v>23.4</v>
      </c>
      <c r="D238">
        <v>0.6</v>
      </c>
      <c r="E238" s="2">
        <f>C238*D238 / 100</f>
        <v>0.1404</v>
      </c>
      <c r="F238">
        <f>IF(F237 &lt; 7, F237 +1,1)</f>
        <v>6</v>
      </c>
      <c r="G238" t="str">
        <f t="shared" si="3"/>
        <v/>
      </c>
    </row>
    <row r="239" spans="1:7">
      <c r="A239" s="1">
        <v>48878</v>
      </c>
      <c r="B239" t="s">
        <v>33</v>
      </c>
      <c r="C239">
        <v>21</v>
      </c>
      <c r="D239">
        <v>0</v>
      </c>
      <c r="E239" s="2">
        <f>C239*D239 / 100</f>
        <v>0</v>
      </c>
      <c r="F239">
        <f>IF(F238 &lt; 7, F238 +1,1)</f>
        <v>7</v>
      </c>
      <c r="G239">
        <f t="shared" si="3"/>
        <v>165.20000000000002</v>
      </c>
    </row>
    <row r="240" spans="1:7">
      <c r="A240" s="1">
        <v>48879</v>
      </c>
      <c r="B240" t="s">
        <v>10</v>
      </c>
      <c r="C240">
        <v>22</v>
      </c>
      <c r="D240">
        <v>0</v>
      </c>
      <c r="E240" s="2">
        <f>C240*D240 / 100</f>
        <v>0</v>
      </c>
      <c r="F240">
        <f>IF(F239 &lt; 7, F239 +1,1)</f>
        <v>1</v>
      </c>
      <c r="G240" t="str">
        <f t="shared" si="3"/>
        <v/>
      </c>
    </row>
    <row r="241" spans="1:7">
      <c r="A241" s="1">
        <v>48880</v>
      </c>
      <c r="B241" t="s">
        <v>26</v>
      </c>
      <c r="C241">
        <v>29.9</v>
      </c>
      <c r="D241">
        <v>8</v>
      </c>
      <c r="E241" s="2">
        <f>C241*D241 / 100</f>
        <v>2.3919999999999999</v>
      </c>
      <c r="F241">
        <f>IF(F240 &lt; 7, F240 +1,1)</f>
        <v>2</v>
      </c>
      <c r="G241" t="str">
        <f t="shared" si="3"/>
        <v/>
      </c>
    </row>
    <row r="242" spans="1:7">
      <c r="A242" s="1">
        <v>48881</v>
      </c>
      <c r="B242" t="s">
        <v>16</v>
      </c>
      <c r="C242">
        <v>27.2</v>
      </c>
      <c r="D242">
        <v>19.2</v>
      </c>
      <c r="E242" s="2">
        <f>C242*D242 / 100</f>
        <v>5.2224000000000004</v>
      </c>
      <c r="F242">
        <f>IF(F241 &lt; 7, F241 +1,1)</f>
        <v>3</v>
      </c>
      <c r="G242" t="str">
        <f t="shared" si="3"/>
        <v/>
      </c>
    </row>
    <row r="243" spans="1:7">
      <c r="A243" s="1">
        <v>48882</v>
      </c>
      <c r="B243" t="s">
        <v>36</v>
      </c>
      <c r="C243">
        <v>10.9</v>
      </c>
      <c r="D243">
        <v>9</v>
      </c>
      <c r="E243" s="2">
        <f>C243*D243 / 100</f>
        <v>0.98100000000000009</v>
      </c>
      <c r="F243">
        <f>IF(F242 &lt; 7, F242 +1,1)</f>
        <v>4</v>
      </c>
      <c r="G243" t="str">
        <f t="shared" si="3"/>
        <v/>
      </c>
    </row>
    <row r="244" spans="1:7">
      <c r="A244" s="1">
        <v>48883</v>
      </c>
      <c r="B244" t="s">
        <v>26</v>
      </c>
      <c r="C244">
        <v>22.6</v>
      </c>
      <c r="D244">
        <v>5.9</v>
      </c>
      <c r="E244" s="2">
        <f>C244*D244 / 100</f>
        <v>1.3334000000000001</v>
      </c>
      <c r="F244">
        <f>IF(F243 &lt; 7, F243 +1,1)</f>
        <v>5</v>
      </c>
      <c r="G244" t="str">
        <f t="shared" si="3"/>
        <v/>
      </c>
    </row>
    <row r="245" spans="1:7">
      <c r="A245" s="1">
        <v>48884</v>
      </c>
      <c r="B245" t="s">
        <v>6</v>
      </c>
      <c r="C245">
        <v>12</v>
      </c>
      <c r="D245">
        <v>3.9</v>
      </c>
      <c r="E245" s="2">
        <f>C245*D245 / 100</f>
        <v>0.46799999999999997</v>
      </c>
      <c r="F245">
        <f>IF(F244 &lt; 7, F244 +1,1)</f>
        <v>6</v>
      </c>
      <c r="G245" t="str">
        <f t="shared" si="3"/>
        <v/>
      </c>
    </row>
    <row r="246" spans="1:7">
      <c r="A246" s="1">
        <v>48885</v>
      </c>
      <c r="B246" t="s">
        <v>33</v>
      </c>
      <c r="C246">
        <v>19.5</v>
      </c>
      <c r="D246">
        <v>14.2</v>
      </c>
      <c r="E246" s="2">
        <f>C246*D246 / 100</f>
        <v>2.7689999999999997</v>
      </c>
      <c r="F246">
        <f>IF(F245 &lt; 7, F245 +1,1)</f>
        <v>7</v>
      </c>
      <c r="G246">
        <f t="shared" si="3"/>
        <v>144.1</v>
      </c>
    </row>
    <row r="247" spans="1:7">
      <c r="A247" s="1">
        <v>48886</v>
      </c>
      <c r="B247" t="s">
        <v>21</v>
      </c>
      <c r="C247">
        <v>27</v>
      </c>
      <c r="D247">
        <v>10.9</v>
      </c>
      <c r="E247" s="2">
        <f>C247*D247 / 100</f>
        <v>2.9430000000000001</v>
      </c>
      <c r="F247">
        <f>IF(F246 &lt; 7, F246 +1,1)</f>
        <v>1</v>
      </c>
      <c r="G247" t="str">
        <f t="shared" si="3"/>
        <v/>
      </c>
    </row>
    <row r="248" spans="1:7">
      <c r="A248" s="1">
        <v>48887</v>
      </c>
      <c r="B248" t="s">
        <v>24</v>
      </c>
      <c r="C248">
        <v>10.7</v>
      </c>
      <c r="D248">
        <v>5.6</v>
      </c>
      <c r="E248" s="2">
        <f>C248*D248 / 100</f>
        <v>0.59919999999999995</v>
      </c>
      <c r="F248">
        <f>IF(F247 &lt; 7, F247 +1,1)</f>
        <v>2</v>
      </c>
      <c r="G248" t="str">
        <f t="shared" si="3"/>
        <v/>
      </c>
    </row>
    <row r="249" spans="1:7">
      <c r="A249" s="1">
        <v>48888</v>
      </c>
      <c r="B249" t="s">
        <v>36</v>
      </c>
      <c r="C249">
        <v>29.1</v>
      </c>
      <c r="D249">
        <v>0</v>
      </c>
      <c r="E249" s="2">
        <f>C249*D249 / 100</f>
        <v>0</v>
      </c>
      <c r="F249">
        <f>IF(F248 &lt; 7, F248 +1,1)</f>
        <v>3</v>
      </c>
      <c r="G249" t="str">
        <f t="shared" si="3"/>
        <v/>
      </c>
    </row>
    <row r="250" spans="1:7">
      <c r="A250" s="1">
        <v>48889</v>
      </c>
      <c r="B250" t="s">
        <v>14</v>
      </c>
      <c r="C250">
        <v>25.3</v>
      </c>
      <c r="D250">
        <v>0</v>
      </c>
      <c r="E250" s="2">
        <f>C250*D250 / 100</f>
        <v>0</v>
      </c>
      <c r="F250">
        <f>IF(F249 &lt; 7, F249 +1,1)</f>
        <v>4</v>
      </c>
      <c r="G250" t="str">
        <f t="shared" si="3"/>
        <v/>
      </c>
    </row>
    <row r="251" spans="1:7">
      <c r="A251" s="1">
        <v>48890</v>
      </c>
      <c r="B251" t="s">
        <v>30</v>
      </c>
      <c r="C251">
        <v>13.3</v>
      </c>
      <c r="D251">
        <v>4.4000000000000004</v>
      </c>
      <c r="E251" s="2">
        <f>C251*D251 / 100</f>
        <v>0.58520000000000005</v>
      </c>
      <c r="F251">
        <f>IF(F250 &lt; 7, F250 +1,1)</f>
        <v>5</v>
      </c>
      <c r="G251" t="str">
        <f t="shared" si="3"/>
        <v/>
      </c>
    </row>
    <row r="252" spans="1:7">
      <c r="A252" s="1">
        <v>48891</v>
      </c>
      <c r="B252" t="s">
        <v>16</v>
      </c>
      <c r="C252">
        <v>16.899999999999999</v>
      </c>
      <c r="D252">
        <v>0</v>
      </c>
      <c r="E252" s="2">
        <f>C252*D252 / 100</f>
        <v>0</v>
      </c>
      <c r="F252">
        <f>IF(F251 &lt; 7, F251 +1,1)</f>
        <v>6</v>
      </c>
      <c r="G252" t="str">
        <f t="shared" si="3"/>
        <v/>
      </c>
    </row>
    <row r="253" spans="1:7">
      <c r="A253" s="1">
        <v>48892</v>
      </c>
      <c r="B253" t="s">
        <v>33</v>
      </c>
      <c r="C253">
        <v>26.4</v>
      </c>
      <c r="D253">
        <v>6.8</v>
      </c>
      <c r="E253" s="2">
        <f>C253*D253 / 100</f>
        <v>1.7951999999999999</v>
      </c>
      <c r="F253">
        <f>IF(F252 &lt; 7, F252 +1,1)</f>
        <v>7</v>
      </c>
      <c r="G253">
        <f t="shared" si="3"/>
        <v>148.70000000000002</v>
      </c>
    </row>
    <row r="254" spans="1:7">
      <c r="A254" s="1">
        <v>48893</v>
      </c>
      <c r="B254" t="s">
        <v>11</v>
      </c>
      <c r="C254">
        <v>29.7</v>
      </c>
      <c r="D254">
        <v>0</v>
      </c>
      <c r="E254" s="2">
        <f>C254*D254 / 100</f>
        <v>0</v>
      </c>
      <c r="F254">
        <f>IF(F253 &lt; 7, F253 +1,1)</f>
        <v>1</v>
      </c>
      <c r="G254" t="str">
        <f t="shared" si="3"/>
        <v/>
      </c>
    </row>
    <row r="255" spans="1:7">
      <c r="A255" s="1">
        <v>48894</v>
      </c>
      <c r="B255" t="s">
        <v>16</v>
      </c>
      <c r="C255">
        <v>17.600000000000001</v>
      </c>
      <c r="D255">
        <v>8.6999999999999993</v>
      </c>
      <c r="E255" s="2">
        <f>C255*D255 / 100</f>
        <v>1.5312000000000001</v>
      </c>
      <c r="F255">
        <f>IF(F254 &lt; 7, F254 +1,1)</f>
        <v>2</v>
      </c>
      <c r="G255" t="str">
        <f t="shared" si="3"/>
        <v/>
      </c>
    </row>
    <row r="256" spans="1:7">
      <c r="A256" s="1">
        <v>48895</v>
      </c>
      <c r="B256" t="s">
        <v>23</v>
      </c>
      <c r="C256">
        <v>13.2</v>
      </c>
      <c r="D256">
        <v>3.3</v>
      </c>
      <c r="E256" s="2">
        <f>C256*D256 / 100</f>
        <v>0.43559999999999993</v>
      </c>
      <c r="F256">
        <f>IF(F255 &lt; 7, F255 +1,1)</f>
        <v>3</v>
      </c>
      <c r="G256" t="str">
        <f t="shared" si="3"/>
        <v/>
      </c>
    </row>
    <row r="257" spans="1:7">
      <c r="A257" s="1">
        <v>48896</v>
      </c>
      <c r="B257" t="s">
        <v>33</v>
      </c>
      <c r="C257">
        <v>21.2</v>
      </c>
      <c r="D257">
        <v>0</v>
      </c>
      <c r="E257" s="2">
        <f>C257*D257 / 100</f>
        <v>0</v>
      </c>
      <c r="F257">
        <f>IF(F256 &lt; 7, F256 +1,1)</f>
        <v>4</v>
      </c>
      <c r="G257" t="str">
        <f t="shared" si="3"/>
        <v/>
      </c>
    </row>
    <row r="258" spans="1:7">
      <c r="A258" s="1">
        <v>48897</v>
      </c>
      <c r="B258" t="s">
        <v>33</v>
      </c>
      <c r="C258">
        <v>23</v>
      </c>
      <c r="D258">
        <v>7.7</v>
      </c>
      <c r="E258" s="2">
        <f>C258*D258 / 100</f>
        <v>1.7709999999999999</v>
      </c>
      <c r="F258">
        <f>IF(F257 &lt; 7, F257 +1,1)</f>
        <v>5</v>
      </c>
      <c r="G258" t="str">
        <f t="shared" si="3"/>
        <v/>
      </c>
    </row>
    <row r="259" spans="1:7">
      <c r="A259" s="1">
        <v>48898</v>
      </c>
      <c r="B259" t="s">
        <v>9</v>
      </c>
      <c r="C259">
        <v>23</v>
      </c>
      <c r="D259">
        <v>0</v>
      </c>
      <c r="E259" s="2">
        <f>C259*D259 / 100</f>
        <v>0</v>
      </c>
      <c r="F259">
        <f>IF(F258 &lt; 7, F258 +1,1)</f>
        <v>6</v>
      </c>
      <c r="G259" t="str">
        <f t="shared" si="3"/>
        <v/>
      </c>
    </row>
    <row r="260" spans="1:7">
      <c r="A260" s="1">
        <v>48899</v>
      </c>
      <c r="B260" t="s">
        <v>9</v>
      </c>
      <c r="C260">
        <v>23.4</v>
      </c>
      <c r="D260">
        <v>0</v>
      </c>
      <c r="E260" s="2">
        <f>C260*D260 / 100</f>
        <v>0</v>
      </c>
      <c r="F260">
        <f>IF(F259 &lt; 7, F259 +1,1)</f>
        <v>7</v>
      </c>
      <c r="G260">
        <f t="shared" si="3"/>
        <v>151.1</v>
      </c>
    </row>
    <row r="261" spans="1:7">
      <c r="A261" s="1">
        <v>48900</v>
      </c>
      <c r="B261" t="s">
        <v>16</v>
      </c>
      <c r="C261">
        <v>28.7</v>
      </c>
      <c r="D261">
        <v>3.3</v>
      </c>
      <c r="E261" s="2">
        <f>C261*D261 / 100</f>
        <v>0.94709999999999994</v>
      </c>
      <c r="F261">
        <f>IF(F260 &lt; 7, F260 +1,1)</f>
        <v>1</v>
      </c>
      <c r="G261" t="str">
        <f t="shared" si="3"/>
        <v/>
      </c>
    </row>
    <row r="262" spans="1:7">
      <c r="A262" s="1">
        <v>48901</v>
      </c>
      <c r="B262" t="s">
        <v>12</v>
      </c>
      <c r="C262">
        <v>23.6</v>
      </c>
      <c r="D262">
        <v>4.3</v>
      </c>
      <c r="E262" s="2">
        <f>C262*D262 / 100</f>
        <v>1.0148000000000001</v>
      </c>
      <c r="F262">
        <f>IF(F261 &lt; 7, F261 +1,1)</f>
        <v>2</v>
      </c>
      <c r="G262" t="str">
        <f t="shared" si="3"/>
        <v/>
      </c>
    </row>
    <row r="263" spans="1:7">
      <c r="A263" s="1">
        <v>48902</v>
      </c>
      <c r="B263" t="s">
        <v>30</v>
      </c>
      <c r="C263">
        <v>10.199999999999999</v>
      </c>
      <c r="D263">
        <v>8.6999999999999993</v>
      </c>
      <c r="E263" s="2">
        <f>C263*D263 / 100</f>
        <v>0.88739999999999986</v>
      </c>
      <c r="F263">
        <f>IF(F262 &lt; 7, F262 +1,1)</f>
        <v>3</v>
      </c>
      <c r="G263" t="str">
        <f t="shared" si="3"/>
        <v/>
      </c>
    </row>
    <row r="264" spans="1:7">
      <c r="A264" s="1">
        <v>48903</v>
      </c>
      <c r="B264" t="s">
        <v>26</v>
      </c>
      <c r="C264">
        <v>13.8</v>
      </c>
      <c r="D264">
        <v>0</v>
      </c>
      <c r="E264" s="2">
        <f>C264*D264 / 100</f>
        <v>0</v>
      </c>
      <c r="F264">
        <f>IF(F263 &lt; 7, F263 +1,1)</f>
        <v>4</v>
      </c>
      <c r="G264" t="str">
        <f t="shared" si="3"/>
        <v/>
      </c>
    </row>
    <row r="265" spans="1:7">
      <c r="A265" s="1">
        <v>48904</v>
      </c>
      <c r="B265" t="s">
        <v>22</v>
      </c>
      <c r="C265">
        <v>27.7</v>
      </c>
      <c r="D265">
        <v>0</v>
      </c>
      <c r="E265" s="2">
        <f>C265*D265 / 100</f>
        <v>0</v>
      </c>
      <c r="F265">
        <f>IF(F264 &lt; 7, F264 +1,1)</f>
        <v>5</v>
      </c>
      <c r="G265" t="str">
        <f t="shared" ref="G265:G328" si="4">IF(F265=7, SUM(C259:C265), "")</f>
        <v/>
      </c>
    </row>
    <row r="266" spans="1:7">
      <c r="A266" s="1">
        <v>48905</v>
      </c>
      <c r="B266" t="s">
        <v>16</v>
      </c>
      <c r="C266">
        <v>13.3</v>
      </c>
      <c r="D266">
        <v>7.2</v>
      </c>
      <c r="E266" s="2">
        <f>C266*D266 / 100</f>
        <v>0.95760000000000001</v>
      </c>
      <c r="F266">
        <f>IF(F265 &lt; 7, F265 +1,1)</f>
        <v>6</v>
      </c>
      <c r="G266" t="str">
        <f t="shared" si="4"/>
        <v/>
      </c>
    </row>
    <row r="267" spans="1:7">
      <c r="A267" s="1">
        <v>48906</v>
      </c>
      <c r="B267" t="s">
        <v>9</v>
      </c>
      <c r="C267">
        <v>26</v>
      </c>
      <c r="D267">
        <v>0.7</v>
      </c>
      <c r="E267" s="2">
        <f>C267*D267 / 100</f>
        <v>0.182</v>
      </c>
      <c r="F267">
        <f>IF(F266 &lt; 7, F266 +1,1)</f>
        <v>7</v>
      </c>
      <c r="G267">
        <f t="shared" si="4"/>
        <v>143.30000000000001</v>
      </c>
    </row>
    <row r="268" spans="1:7">
      <c r="A268" s="1">
        <v>48907</v>
      </c>
      <c r="B268" t="s">
        <v>30</v>
      </c>
      <c r="C268">
        <v>16.3</v>
      </c>
      <c r="D268">
        <v>11</v>
      </c>
      <c r="E268" s="2">
        <f>C268*D268 / 100</f>
        <v>1.7930000000000001</v>
      </c>
      <c r="F268">
        <f>IF(F267 &lt; 7, F267 +1,1)</f>
        <v>1</v>
      </c>
      <c r="G268" t="str">
        <f t="shared" si="4"/>
        <v/>
      </c>
    </row>
    <row r="269" spans="1:7">
      <c r="A269" s="1">
        <v>48908</v>
      </c>
      <c r="B269" t="s">
        <v>33</v>
      </c>
      <c r="C269">
        <v>23.5</v>
      </c>
      <c r="D269">
        <v>15.5</v>
      </c>
      <c r="E269" s="2">
        <f>C269*D269 / 100</f>
        <v>3.6425000000000001</v>
      </c>
      <c r="F269">
        <f>IF(F268 &lt; 7, F268 +1,1)</f>
        <v>2</v>
      </c>
      <c r="G269" t="str">
        <f t="shared" si="4"/>
        <v/>
      </c>
    </row>
    <row r="270" spans="1:7">
      <c r="A270" s="1">
        <v>48909</v>
      </c>
      <c r="B270" t="s">
        <v>14</v>
      </c>
      <c r="C270">
        <v>15.7</v>
      </c>
      <c r="D270">
        <v>0</v>
      </c>
      <c r="E270" s="2">
        <f>C270*D270 / 100</f>
        <v>0</v>
      </c>
      <c r="F270">
        <f>IF(F269 &lt; 7, F269 +1,1)</f>
        <v>3</v>
      </c>
      <c r="G270" t="str">
        <f t="shared" si="4"/>
        <v/>
      </c>
    </row>
    <row r="271" spans="1:7">
      <c r="A271" s="1">
        <v>48910</v>
      </c>
      <c r="B271" t="s">
        <v>12</v>
      </c>
      <c r="C271">
        <v>26</v>
      </c>
      <c r="D271">
        <v>6.4</v>
      </c>
      <c r="E271" s="2">
        <f>C271*D271 / 100</f>
        <v>1.6640000000000001</v>
      </c>
      <c r="F271">
        <f>IF(F270 &lt; 7, F270 +1,1)</f>
        <v>4</v>
      </c>
      <c r="G271" t="str">
        <f t="shared" si="4"/>
        <v/>
      </c>
    </row>
    <row r="272" spans="1:7">
      <c r="A272" s="1">
        <v>48911</v>
      </c>
      <c r="B272" t="s">
        <v>36</v>
      </c>
      <c r="C272">
        <v>22.7</v>
      </c>
      <c r="D272">
        <v>0</v>
      </c>
      <c r="E272" s="2">
        <f>C272*D272 / 100</f>
        <v>0</v>
      </c>
      <c r="F272">
        <f>IF(F271 &lt; 7, F271 +1,1)</f>
        <v>5</v>
      </c>
      <c r="G272" t="str">
        <f t="shared" si="4"/>
        <v/>
      </c>
    </row>
    <row r="273" spans="1:7">
      <c r="A273" s="1">
        <v>48912</v>
      </c>
      <c r="B273" t="s">
        <v>26</v>
      </c>
      <c r="C273">
        <v>26.2</v>
      </c>
      <c r="D273">
        <v>5.7</v>
      </c>
      <c r="E273" s="2">
        <f>C273*D273 / 100</f>
        <v>1.4934000000000001</v>
      </c>
      <c r="F273">
        <f>IF(F272 &lt; 7, F272 +1,1)</f>
        <v>6</v>
      </c>
      <c r="G273" t="str">
        <f t="shared" si="4"/>
        <v/>
      </c>
    </row>
    <row r="274" spans="1:7">
      <c r="A274" s="1">
        <v>48913</v>
      </c>
      <c r="B274" t="s">
        <v>24</v>
      </c>
      <c r="C274">
        <v>14.1</v>
      </c>
      <c r="D274">
        <v>0</v>
      </c>
      <c r="E274" s="2">
        <f>C274*D274 / 100</f>
        <v>0</v>
      </c>
      <c r="F274">
        <f>IF(F273 &lt; 7, F273 +1,1)</f>
        <v>7</v>
      </c>
      <c r="G274">
        <f t="shared" si="4"/>
        <v>144.5</v>
      </c>
    </row>
    <row r="275" spans="1:7">
      <c r="A275" s="1">
        <v>48914</v>
      </c>
      <c r="B275" t="s">
        <v>9</v>
      </c>
      <c r="C275">
        <v>23.6</v>
      </c>
      <c r="D275">
        <v>19.7</v>
      </c>
      <c r="E275" s="2">
        <f>C275*D275 / 100</f>
        <v>4.6492000000000004</v>
      </c>
      <c r="F275">
        <f>IF(F274 &lt; 7, F274 +1,1)</f>
        <v>1</v>
      </c>
      <c r="G275" t="str">
        <f t="shared" si="4"/>
        <v/>
      </c>
    </row>
    <row r="276" spans="1:7">
      <c r="A276" s="1">
        <v>48915</v>
      </c>
      <c r="B276" t="s">
        <v>36</v>
      </c>
      <c r="C276">
        <v>25.2</v>
      </c>
      <c r="D276">
        <v>37.200000000000003</v>
      </c>
      <c r="E276" s="2">
        <f>C276*D276 / 100</f>
        <v>9.3744000000000014</v>
      </c>
      <c r="F276">
        <f>IF(F275 &lt; 7, F275 +1,1)</f>
        <v>2</v>
      </c>
      <c r="G276" t="str">
        <f t="shared" si="4"/>
        <v/>
      </c>
    </row>
    <row r="277" spans="1:7">
      <c r="A277" s="1">
        <v>48916</v>
      </c>
      <c r="B277" t="s">
        <v>19</v>
      </c>
      <c r="C277">
        <v>23</v>
      </c>
      <c r="D277">
        <v>0</v>
      </c>
      <c r="E277" s="2">
        <f>C277*D277 / 100</f>
        <v>0</v>
      </c>
      <c r="F277">
        <f>IF(F276 &lt; 7, F276 +1,1)</f>
        <v>3</v>
      </c>
      <c r="G277" t="str">
        <f t="shared" si="4"/>
        <v/>
      </c>
    </row>
    <row r="278" spans="1:7">
      <c r="A278" s="1">
        <v>48917</v>
      </c>
      <c r="B278" t="s">
        <v>30</v>
      </c>
      <c r="C278">
        <v>29.7</v>
      </c>
      <c r="D278">
        <v>6.8</v>
      </c>
      <c r="E278" s="2">
        <f>C278*D278 / 100</f>
        <v>2.0195999999999996</v>
      </c>
      <c r="F278">
        <f>IF(F277 &lt; 7, F277 +1,1)</f>
        <v>4</v>
      </c>
      <c r="G278" t="str">
        <f t="shared" si="4"/>
        <v/>
      </c>
    </row>
    <row r="279" spans="1:7">
      <c r="A279" s="1">
        <v>48918</v>
      </c>
      <c r="B279" t="s">
        <v>26</v>
      </c>
      <c r="C279">
        <v>17.2</v>
      </c>
      <c r="D279">
        <v>3.5</v>
      </c>
      <c r="E279" s="2">
        <f>C279*D279 / 100</f>
        <v>0.60199999999999998</v>
      </c>
      <c r="F279">
        <f>IF(F278 &lt; 7, F278 +1,1)</f>
        <v>5</v>
      </c>
      <c r="G279" t="str">
        <f t="shared" si="4"/>
        <v/>
      </c>
    </row>
    <row r="280" spans="1:7">
      <c r="A280" s="1">
        <v>48919</v>
      </c>
      <c r="B280" t="s">
        <v>26</v>
      </c>
      <c r="C280">
        <v>21.7</v>
      </c>
      <c r="D280">
        <v>2.5</v>
      </c>
      <c r="E280" s="2">
        <f>C280*D280 / 100</f>
        <v>0.54249999999999998</v>
      </c>
      <c r="F280">
        <f>IF(F279 &lt; 7, F279 +1,1)</f>
        <v>6</v>
      </c>
      <c r="G280" t="str">
        <f t="shared" si="4"/>
        <v/>
      </c>
    </row>
    <row r="281" spans="1:7">
      <c r="A281" s="1">
        <v>48920</v>
      </c>
      <c r="B281" t="s">
        <v>9</v>
      </c>
      <c r="C281">
        <v>25.8</v>
      </c>
      <c r="D281">
        <v>3.8</v>
      </c>
      <c r="E281" s="2">
        <f>C281*D281 / 100</f>
        <v>0.98039999999999994</v>
      </c>
      <c r="F281">
        <f>IF(F280 &lt; 7, F280 +1,1)</f>
        <v>7</v>
      </c>
      <c r="G281">
        <f t="shared" si="4"/>
        <v>166.20000000000002</v>
      </c>
    </row>
    <row r="282" spans="1:7">
      <c r="A282" s="1">
        <v>48921</v>
      </c>
      <c r="B282" t="s">
        <v>12</v>
      </c>
      <c r="C282">
        <v>12.9</v>
      </c>
      <c r="D282">
        <v>1.6</v>
      </c>
      <c r="E282" s="2">
        <f>C282*D282 / 100</f>
        <v>0.2064</v>
      </c>
      <c r="F282">
        <f>IF(F281 &lt; 7, F281 +1,1)</f>
        <v>1</v>
      </c>
      <c r="G282" t="str">
        <f t="shared" si="4"/>
        <v/>
      </c>
    </row>
    <row r="283" spans="1:7">
      <c r="A283" s="1">
        <v>48922</v>
      </c>
      <c r="B283" t="s">
        <v>31</v>
      </c>
      <c r="C283">
        <v>18.2</v>
      </c>
      <c r="D283">
        <v>0</v>
      </c>
      <c r="E283" s="2">
        <f>C283*D283 / 100</f>
        <v>0</v>
      </c>
      <c r="F283">
        <f>IF(F282 &lt; 7, F282 +1,1)</f>
        <v>2</v>
      </c>
      <c r="G283" t="str">
        <f t="shared" si="4"/>
        <v/>
      </c>
    </row>
    <row r="284" spans="1:7">
      <c r="A284" s="1">
        <v>48923</v>
      </c>
      <c r="B284" t="s">
        <v>21</v>
      </c>
      <c r="C284">
        <v>20</v>
      </c>
      <c r="D284">
        <v>25.7</v>
      </c>
      <c r="E284" s="2">
        <f>C284*D284 / 100</f>
        <v>5.14</v>
      </c>
      <c r="F284">
        <f>IF(F283 &lt; 7, F283 +1,1)</f>
        <v>3</v>
      </c>
      <c r="G284" t="str">
        <f t="shared" si="4"/>
        <v/>
      </c>
    </row>
    <row r="285" spans="1:7">
      <c r="A285" s="1">
        <v>48924</v>
      </c>
      <c r="B285" t="s">
        <v>36</v>
      </c>
      <c r="C285">
        <v>17.100000000000001</v>
      </c>
      <c r="D285">
        <v>33</v>
      </c>
      <c r="E285" s="2">
        <f>C285*D285 / 100</f>
        <v>5.6430000000000007</v>
      </c>
      <c r="F285">
        <f>IF(F284 &lt; 7, F284 +1,1)</f>
        <v>4</v>
      </c>
      <c r="G285" t="str">
        <f t="shared" si="4"/>
        <v/>
      </c>
    </row>
    <row r="286" spans="1:7">
      <c r="A286" s="1">
        <v>48925</v>
      </c>
      <c r="B286" t="s">
        <v>10</v>
      </c>
      <c r="C286">
        <v>23.2</v>
      </c>
      <c r="D286">
        <v>2.2999999999999998</v>
      </c>
      <c r="E286" s="2">
        <f>C286*D286 / 100</f>
        <v>0.53359999999999996</v>
      </c>
      <c r="F286">
        <f>IF(F285 &lt; 7, F285 +1,1)</f>
        <v>5</v>
      </c>
      <c r="G286" t="str">
        <f t="shared" si="4"/>
        <v/>
      </c>
    </row>
    <row r="287" spans="1:7">
      <c r="A287" s="1">
        <v>48926</v>
      </c>
      <c r="B287" t="s">
        <v>33</v>
      </c>
      <c r="C287">
        <v>23.1</v>
      </c>
      <c r="D287">
        <v>2.2000000000000002</v>
      </c>
      <c r="E287" s="2">
        <f>C287*D287 / 100</f>
        <v>0.5082000000000001</v>
      </c>
      <c r="F287">
        <f>IF(F286 &lt; 7, F286 +1,1)</f>
        <v>6</v>
      </c>
      <c r="G287" t="str">
        <f t="shared" si="4"/>
        <v/>
      </c>
    </row>
    <row r="288" spans="1:7">
      <c r="A288" s="1">
        <v>48927</v>
      </c>
      <c r="B288" t="s">
        <v>21</v>
      </c>
      <c r="C288">
        <v>22.4</v>
      </c>
      <c r="D288">
        <v>33.5</v>
      </c>
      <c r="E288" s="2">
        <f>C288*D288 / 100</f>
        <v>7.5039999999999996</v>
      </c>
      <c r="F288">
        <f>IF(F287 &lt; 7, F287 +1,1)</f>
        <v>7</v>
      </c>
      <c r="G288">
        <f t="shared" si="4"/>
        <v>136.9</v>
      </c>
    </row>
    <row r="289" spans="1:7">
      <c r="A289" s="1">
        <v>48928</v>
      </c>
      <c r="B289" t="s">
        <v>32</v>
      </c>
      <c r="C289">
        <v>25.4</v>
      </c>
      <c r="D289">
        <v>0.9</v>
      </c>
      <c r="E289" s="2">
        <f>C289*D289 / 100</f>
        <v>0.2286</v>
      </c>
      <c r="F289">
        <f>IF(F288 &lt; 7, F288 +1,1)</f>
        <v>1</v>
      </c>
      <c r="G289" t="str">
        <f t="shared" si="4"/>
        <v/>
      </c>
    </row>
    <row r="290" spans="1:7">
      <c r="A290" s="1">
        <v>48929</v>
      </c>
      <c r="B290" t="s">
        <v>21</v>
      </c>
      <c r="C290">
        <v>15.4</v>
      </c>
      <c r="D290">
        <v>1.6</v>
      </c>
      <c r="E290" s="2">
        <f>C290*D290 / 100</f>
        <v>0.24640000000000001</v>
      </c>
      <c r="F290">
        <f>IF(F289 &lt; 7, F289 +1,1)</f>
        <v>2</v>
      </c>
      <c r="G290" t="str">
        <f t="shared" si="4"/>
        <v/>
      </c>
    </row>
    <row r="291" spans="1:7">
      <c r="A291" s="1">
        <v>48930</v>
      </c>
      <c r="B291" t="s">
        <v>35</v>
      </c>
      <c r="C291">
        <v>23.5</v>
      </c>
      <c r="D291">
        <v>0.6</v>
      </c>
      <c r="E291" s="2">
        <f>C291*D291 / 100</f>
        <v>0.14099999999999999</v>
      </c>
      <c r="F291">
        <f>IF(F290 &lt; 7, F290 +1,1)</f>
        <v>3</v>
      </c>
      <c r="G291" t="str">
        <f t="shared" si="4"/>
        <v/>
      </c>
    </row>
    <row r="292" spans="1:7">
      <c r="A292" s="1">
        <v>48931</v>
      </c>
      <c r="B292" t="s">
        <v>33</v>
      </c>
      <c r="C292">
        <v>10.3</v>
      </c>
      <c r="D292">
        <v>15.4</v>
      </c>
      <c r="E292" s="2">
        <f>C292*D292 / 100</f>
        <v>1.5862000000000001</v>
      </c>
      <c r="F292">
        <f>IF(F291 &lt; 7, F291 +1,1)</f>
        <v>4</v>
      </c>
      <c r="G292" t="str">
        <f t="shared" si="4"/>
        <v/>
      </c>
    </row>
    <row r="293" spans="1:7">
      <c r="A293" s="1">
        <v>48932</v>
      </c>
      <c r="B293" t="s">
        <v>21</v>
      </c>
      <c r="C293">
        <v>15.5</v>
      </c>
      <c r="D293">
        <v>20.2</v>
      </c>
      <c r="E293" s="2">
        <f>C293*D293 / 100</f>
        <v>3.1309999999999998</v>
      </c>
      <c r="F293">
        <f>IF(F292 &lt; 7, F292 +1,1)</f>
        <v>5</v>
      </c>
      <c r="G293" t="str">
        <f t="shared" si="4"/>
        <v/>
      </c>
    </row>
    <row r="294" spans="1:7">
      <c r="A294" s="1">
        <v>48933</v>
      </c>
      <c r="B294" t="s">
        <v>13</v>
      </c>
      <c r="C294">
        <v>20.7</v>
      </c>
      <c r="D294">
        <v>3</v>
      </c>
      <c r="E294" s="2">
        <f>C294*D294 / 100</f>
        <v>0.621</v>
      </c>
      <c r="F294">
        <f>IF(F293 &lt; 7, F293 +1,1)</f>
        <v>6</v>
      </c>
      <c r="G294" t="str">
        <f t="shared" si="4"/>
        <v/>
      </c>
    </row>
    <row r="295" spans="1:7">
      <c r="A295" s="1">
        <v>48934</v>
      </c>
      <c r="B295" t="s">
        <v>19</v>
      </c>
      <c r="C295">
        <v>12.7</v>
      </c>
      <c r="D295">
        <v>14.4</v>
      </c>
      <c r="E295" s="2">
        <f>C295*D295 / 100</f>
        <v>1.8288</v>
      </c>
      <c r="F295">
        <f>IF(F294 &lt; 7, F294 +1,1)</f>
        <v>7</v>
      </c>
      <c r="G295">
        <f t="shared" si="4"/>
        <v>123.5</v>
      </c>
    </row>
    <row r="296" spans="1:7">
      <c r="A296" s="1">
        <v>48935</v>
      </c>
      <c r="B296" t="s">
        <v>6</v>
      </c>
      <c r="C296">
        <v>22.8</v>
      </c>
      <c r="D296">
        <v>3.3</v>
      </c>
      <c r="E296" s="2">
        <f>C296*D296 / 100</f>
        <v>0.75239999999999996</v>
      </c>
      <c r="F296">
        <f>IF(F295 &lt; 7, F295 +1,1)</f>
        <v>1</v>
      </c>
      <c r="G296" t="str">
        <f t="shared" si="4"/>
        <v/>
      </c>
    </row>
    <row r="297" spans="1:7">
      <c r="A297" s="1">
        <v>48936</v>
      </c>
      <c r="B297" t="s">
        <v>17</v>
      </c>
      <c r="C297">
        <v>20.5</v>
      </c>
      <c r="D297">
        <v>0</v>
      </c>
      <c r="E297" s="2">
        <f>C297*D297 / 100</f>
        <v>0</v>
      </c>
      <c r="F297">
        <f>IF(F296 &lt; 7, F296 +1,1)</f>
        <v>2</v>
      </c>
      <c r="G297" t="str">
        <f t="shared" si="4"/>
        <v/>
      </c>
    </row>
    <row r="298" spans="1:7">
      <c r="A298" s="1">
        <v>48937</v>
      </c>
      <c r="B298" t="s">
        <v>24</v>
      </c>
      <c r="C298">
        <v>13.1</v>
      </c>
      <c r="D298">
        <v>5.9</v>
      </c>
      <c r="E298" s="2">
        <f>C298*D298 / 100</f>
        <v>0.77290000000000003</v>
      </c>
      <c r="F298">
        <f>IF(F297 &lt; 7, F297 +1,1)</f>
        <v>3</v>
      </c>
      <c r="G298" t="str">
        <f t="shared" si="4"/>
        <v/>
      </c>
    </row>
    <row r="299" spans="1:7">
      <c r="A299" s="1">
        <v>48938</v>
      </c>
      <c r="B299" t="s">
        <v>28</v>
      </c>
      <c r="C299">
        <v>29</v>
      </c>
      <c r="D299">
        <v>1</v>
      </c>
      <c r="E299" s="2">
        <f>C299*D299 / 100</f>
        <v>0.28999999999999998</v>
      </c>
      <c r="F299">
        <f>IF(F298 &lt; 7, F298 +1,1)</f>
        <v>4</v>
      </c>
      <c r="G299" t="str">
        <f t="shared" si="4"/>
        <v/>
      </c>
    </row>
    <row r="300" spans="1:7">
      <c r="A300" s="1">
        <v>48939</v>
      </c>
      <c r="B300" t="s">
        <v>36</v>
      </c>
      <c r="C300">
        <v>15.4</v>
      </c>
      <c r="D300">
        <v>0</v>
      </c>
      <c r="E300" s="2">
        <f>C300*D300 / 100</f>
        <v>0</v>
      </c>
      <c r="F300">
        <f>IF(F299 &lt; 7, F299 +1,1)</f>
        <v>5</v>
      </c>
      <c r="G300" t="str">
        <f t="shared" si="4"/>
        <v/>
      </c>
    </row>
    <row r="301" spans="1:7">
      <c r="A301" s="1">
        <v>48940</v>
      </c>
      <c r="B301" t="s">
        <v>21</v>
      </c>
      <c r="C301">
        <v>20.3</v>
      </c>
      <c r="D301">
        <v>10.7</v>
      </c>
      <c r="E301" s="2">
        <f>C301*D301 / 100</f>
        <v>2.1720999999999999</v>
      </c>
      <c r="F301">
        <f>IF(F300 &lt; 7, F300 +1,1)</f>
        <v>6</v>
      </c>
      <c r="G301" t="str">
        <f t="shared" si="4"/>
        <v/>
      </c>
    </row>
    <row r="302" spans="1:7">
      <c r="A302" s="1">
        <v>48941</v>
      </c>
      <c r="B302" t="s">
        <v>21</v>
      </c>
      <c r="C302">
        <v>15</v>
      </c>
      <c r="D302">
        <v>0</v>
      </c>
      <c r="E302" s="2">
        <f>C302*D302 / 100</f>
        <v>0</v>
      </c>
      <c r="F302">
        <f>IF(F301 &lt; 7, F301 +1,1)</f>
        <v>7</v>
      </c>
      <c r="G302">
        <f t="shared" si="4"/>
        <v>136.10000000000002</v>
      </c>
    </row>
    <row r="303" spans="1:7">
      <c r="A303" s="1">
        <v>48942</v>
      </c>
      <c r="B303" t="s">
        <v>29</v>
      </c>
      <c r="C303">
        <v>16.600000000000001</v>
      </c>
      <c r="D303">
        <v>0</v>
      </c>
      <c r="E303" s="2">
        <f>C303*D303 / 100</f>
        <v>0</v>
      </c>
      <c r="F303">
        <f>IF(F302 &lt; 7, F302 +1,1)</f>
        <v>1</v>
      </c>
      <c r="G303" t="str">
        <f t="shared" si="4"/>
        <v/>
      </c>
    </row>
    <row r="304" spans="1:7">
      <c r="A304" s="1">
        <v>48943</v>
      </c>
      <c r="B304" t="s">
        <v>9</v>
      </c>
      <c r="C304">
        <v>28.6</v>
      </c>
      <c r="D304">
        <v>0</v>
      </c>
      <c r="E304" s="2">
        <f>C304*D304 / 100</f>
        <v>0</v>
      </c>
      <c r="F304">
        <f>IF(F303 &lt; 7, F303 +1,1)</f>
        <v>2</v>
      </c>
      <c r="G304" t="str">
        <f t="shared" si="4"/>
        <v/>
      </c>
    </row>
    <row r="305" spans="1:7">
      <c r="A305" s="1">
        <v>48944</v>
      </c>
      <c r="B305" t="s">
        <v>23</v>
      </c>
      <c r="C305">
        <v>11.4</v>
      </c>
      <c r="D305">
        <v>3.6</v>
      </c>
      <c r="E305" s="2">
        <f>C305*D305 / 100</f>
        <v>0.41039999999999999</v>
      </c>
      <c r="F305">
        <f>IF(F304 &lt; 7, F304 +1,1)</f>
        <v>3</v>
      </c>
      <c r="G305" t="str">
        <f t="shared" si="4"/>
        <v/>
      </c>
    </row>
    <row r="306" spans="1:7">
      <c r="A306" s="1">
        <v>48945</v>
      </c>
      <c r="B306" t="s">
        <v>26</v>
      </c>
      <c r="C306">
        <v>15.5</v>
      </c>
      <c r="D306">
        <v>1</v>
      </c>
      <c r="E306" s="2">
        <f>C306*D306 / 100</f>
        <v>0.155</v>
      </c>
      <c r="F306">
        <f>IF(F305 &lt; 7, F305 +1,1)</f>
        <v>4</v>
      </c>
      <c r="G306" t="str">
        <f t="shared" si="4"/>
        <v/>
      </c>
    </row>
    <row r="307" spans="1:7">
      <c r="A307" s="1">
        <v>48946</v>
      </c>
      <c r="B307" t="s">
        <v>30</v>
      </c>
      <c r="C307">
        <v>18.3</v>
      </c>
      <c r="D307">
        <v>0.7</v>
      </c>
      <c r="E307" s="2">
        <f>C307*D307 / 100</f>
        <v>0.12809999999999999</v>
      </c>
      <c r="F307">
        <f>IF(F306 &lt; 7, F306 +1,1)</f>
        <v>5</v>
      </c>
      <c r="G307" t="str">
        <f t="shared" si="4"/>
        <v/>
      </c>
    </row>
    <row r="308" spans="1:7">
      <c r="A308" s="1">
        <v>48947</v>
      </c>
      <c r="B308" t="s">
        <v>36</v>
      </c>
      <c r="C308">
        <v>14.9</v>
      </c>
      <c r="D308">
        <v>6.1</v>
      </c>
      <c r="E308" s="2">
        <f>C308*D308 / 100</f>
        <v>0.90890000000000004</v>
      </c>
      <c r="F308">
        <f>IF(F307 &lt; 7, F307 +1,1)</f>
        <v>6</v>
      </c>
      <c r="G308" t="str">
        <f t="shared" si="4"/>
        <v/>
      </c>
    </row>
    <row r="309" spans="1:7">
      <c r="A309" s="1">
        <v>48948</v>
      </c>
      <c r="B309" t="s">
        <v>9</v>
      </c>
      <c r="C309">
        <v>29.7</v>
      </c>
      <c r="D309">
        <v>13.3</v>
      </c>
      <c r="E309" s="2">
        <f>C309*D309 / 100</f>
        <v>3.9500999999999999</v>
      </c>
      <c r="F309">
        <f>IF(F308 &lt; 7, F308 +1,1)</f>
        <v>7</v>
      </c>
      <c r="G309">
        <f t="shared" si="4"/>
        <v>135</v>
      </c>
    </row>
    <row r="310" spans="1:7">
      <c r="A310" s="1">
        <v>48949</v>
      </c>
      <c r="B310" t="s">
        <v>16</v>
      </c>
      <c r="C310">
        <v>28.9</v>
      </c>
      <c r="D310">
        <v>13.8</v>
      </c>
      <c r="E310" s="2">
        <f>C310*D310 / 100</f>
        <v>3.9882</v>
      </c>
      <c r="F310">
        <f>IF(F309 &lt; 7, F309 +1,1)</f>
        <v>1</v>
      </c>
      <c r="G310" t="str">
        <f t="shared" si="4"/>
        <v/>
      </c>
    </row>
    <row r="311" spans="1:7">
      <c r="A311" s="1">
        <v>48950</v>
      </c>
      <c r="B311" t="s">
        <v>23</v>
      </c>
      <c r="C311">
        <v>24.3</v>
      </c>
      <c r="D311">
        <v>0</v>
      </c>
      <c r="E311" s="2">
        <f>C311*D311 / 100</f>
        <v>0</v>
      </c>
      <c r="F311">
        <f>IF(F310 &lt; 7, F310 +1,1)</f>
        <v>2</v>
      </c>
      <c r="G311" t="str">
        <f t="shared" si="4"/>
        <v/>
      </c>
    </row>
    <row r="312" spans="1:7">
      <c r="A312" s="1">
        <v>48951</v>
      </c>
      <c r="B312" t="s">
        <v>21</v>
      </c>
      <c r="C312">
        <v>24</v>
      </c>
      <c r="D312">
        <v>19.7</v>
      </c>
      <c r="E312" s="2">
        <f>C312*D312 / 100</f>
        <v>4.7279999999999998</v>
      </c>
      <c r="F312">
        <f>IF(F311 &lt; 7, F311 +1,1)</f>
        <v>3</v>
      </c>
      <c r="G312" t="str">
        <f t="shared" si="4"/>
        <v/>
      </c>
    </row>
    <row r="313" spans="1:7">
      <c r="A313" s="1">
        <v>48952</v>
      </c>
      <c r="B313" t="s">
        <v>33</v>
      </c>
      <c r="C313">
        <v>11.8</v>
      </c>
      <c r="D313">
        <v>13.3</v>
      </c>
      <c r="E313" s="2">
        <f>C313*D313 / 100</f>
        <v>1.5694000000000004</v>
      </c>
      <c r="F313">
        <f>IF(F312 &lt; 7, F312 +1,1)</f>
        <v>4</v>
      </c>
      <c r="G313" t="str">
        <f t="shared" si="4"/>
        <v/>
      </c>
    </row>
    <row r="314" spans="1:7">
      <c r="A314" s="1">
        <v>48953</v>
      </c>
      <c r="B314" t="s">
        <v>21</v>
      </c>
      <c r="C314">
        <v>26.5</v>
      </c>
      <c r="D314">
        <v>19.7</v>
      </c>
      <c r="E314" s="2">
        <f>C314*D314 / 100</f>
        <v>5.2204999999999995</v>
      </c>
      <c r="F314">
        <f>IF(F313 &lt; 7, F313 +1,1)</f>
        <v>5</v>
      </c>
      <c r="G314" t="str">
        <f t="shared" si="4"/>
        <v/>
      </c>
    </row>
    <row r="315" spans="1:7">
      <c r="A315" s="1">
        <v>48954</v>
      </c>
      <c r="B315" t="s">
        <v>12</v>
      </c>
      <c r="C315">
        <v>12.4</v>
      </c>
      <c r="D315">
        <v>5.0999999999999996</v>
      </c>
      <c r="E315" s="2">
        <f>C315*D315 / 100</f>
        <v>0.63239999999999996</v>
      </c>
      <c r="F315">
        <f>IF(F314 &lt; 7, F314 +1,1)</f>
        <v>6</v>
      </c>
      <c r="G315" t="str">
        <f t="shared" si="4"/>
        <v/>
      </c>
    </row>
    <row r="316" spans="1:7">
      <c r="A316" s="1">
        <v>48955</v>
      </c>
      <c r="B316" t="s">
        <v>21</v>
      </c>
      <c r="C316">
        <v>21.9</v>
      </c>
      <c r="D316">
        <v>6.6</v>
      </c>
      <c r="E316" s="2">
        <f>C316*D316 / 100</f>
        <v>1.4454</v>
      </c>
      <c r="F316">
        <f>IF(F315 &lt; 7, F315 +1,1)</f>
        <v>7</v>
      </c>
      <c r="G316">
        <f t="shared" si="4"/>
        <v>149.80000000000001</v>
      </c>
    </row>
    <row r="317" spans="1:7">
      <c r="A317" s="1">
        <v>48956</v>
      </c>
      <c r="B317" t="s">
        <v>21</v>
      </c>
      <c r="C317">
        <v>20.3</v>
      </c>
      <c r="D317">
        <v>0</v>
      </c>
      <c r="E317" s="2">
        <f>C317*D317 / 100</f>
        <v>0</v>
      </c>
      <c r="F317">
        <f>IF(F316 &lt; 7, F316 +1,1)</f>
        <v>1</v>
      </c>
      <c r="G317" t="str">
        <f t="shared" si="4"/>
        <v/>
      </c>
    </row>
    <row r="318" spans="1:7">
      <c r="A318" s="1">
        <v>48957</v>
      </c>
      <c r="B318" t="s">
        <v>27</v>
      </c>
      <c r="C318">
        <v>27.7</v>
      </c>
      <c r="D318">
        <v>0.3</v>
      </c>
      <c r="E318" s="2">
        <f>C318*D318 / 100</f>
        <v>8.3099999999999993E-2</v>
      </c>
      <c r="F318">
        <f>IF(F317 &lt; 7, F317 +1,1)</f>
        <v>2</v>
      </c>
      <c r="G318" t="str">
        <f t="shared" si="4"/>
        <v/>
      </c>
    </row>
    <row r="319" spans="1:7">
      <c r="A319" s="1">
        <v>48958</v>
      </c>
      <c r="B319" t="s">
        <v>36</v>
      </c>
      <c r="C319">
        <v>28.5</v>
      </c>
      <c r="D319">
        <v>30</v>
      </c>
      <c r="E319" s="2">
        <f>C319*D319 / 100</f>
        <v>8.5500000000000007</v>
      </c>
      <c r="F319">
        <f>IF(F318 &lt; 7, F318 +1,1)</f>
        <v>3</v>
      </c>
      <c r="G319" t="str">
        <f t="shared" si="4"/>
        <v/>
      </c>
    </row>
    <row r="320" spans="1:7">
      <c r="A320" s="1">
        <v>48959</v>
      </c>
      <c r="B320" t="s">
        <v>28</v>
      </c>
      <c r="C320">
        <v>28.7</v>
      </c>
      <c r="D320">
        <v>1.9</v>
      </c>
      <c r="E320" s="2">
        <f>C320*D320 / 100</f>
        <v>0.5452999999999999</v>
      </c>
      <c r="F320">
        <f>IF(F319 &lt; 7, F319 +1,1)</f>
        <v>4</v>
      </c>
      <c r="G320" t="str">
        <f t="shared" si="4"/>
        <v/>
      </c>
    </row>
    <row r="321" spans="1:7">
      <c r="A321" s="1">
        <v>48960</v>
      </c>
      <c r="B321" t="s">
        <v>15</v>
      </c>
      <c r="C321">
        <v>10.9</v>
      </c>
      <c r="D321">
        <v>0</v>
      </c>
      <c r="E321" s="2">
        <f>C321*D321 / 100</f>
        <v>0</v>
      </c>
      <c r="F321">
        <f>IF(F320 &lt; 7, F320 +1,1)</f>
        <v>5</v>
      </c>
      <c r="G321" t="str">
        <f t="shared" si="4"/>
        <v/>
      </c>
    </row>
    <row r="322" spans="1:7">
      <c r="A322" s="1">
        <v>48961</v>
      </c>
      <c r="B322" t="s">
        <v>26</v>
      </c>
      <c r="C322">
        <v>13.7</v>
      </c>
      <c r="D322">
        <v>0</v>
      </c>
      <c r="E322" s="2">
        <f>C322*D322 / 100</f>
        <v>0</v>
      </c>
      <c r="F322">
        <f>IF(F321 &lt; 7, F321 +1,1)</f>
        <v>6</v>
      </c>
      <c r="G322" t="str">
        <f t="shared" si="4"/>
        <v/>
      </c>
    </row>
    <row r="323" spans="1:7">
      <c r="A323" s="1">
        <v>48962</v>
      </c>
      <c r="B323" t="s">
        <v>9</v>
      </c>
      <c r="C323">
        <v>28.2</v>
      </c>
      <c r="D323">
        <v>0</v>
      </c>
      <c r="E323" s="2">
        <f>C323*D323 / 100</f>
        <v>0</v>
      </c>
      <c r="F323">
        <f>IF(F322 &lt; 7, F322 +1,1)</f>
        <v>7</v>
      </c>
      <c r="G323">
        <f t="shared" si="4"/>
        <v>158</v>
      </c>
    </row>
    <row r="324" spans="1:7">
      <c r="A324" s="1">
        <v>48963</v>
      </c>
      <c r="B324" t="s">
        <v>36</v>
      </c>
      <c r="C324">
        <v>20.100000000000001</v>
      </c>
      <c r="D324">
        <v>0</v>
      </c>
      <c r="E324" s="2">
        <f>C324*D324 / 100</f>
        <v>0</v>
      </c>
      <c r="F324">
        <f>IF(F323 &lt; 7, F323 +1,1)</f>
        <v>1</v>
      </c>
      <c r="G324" t="str">
        <f t="shared" si="4"/>
        <v/>
      </c>
    </row>
    <row r="325" spans="1:7">
      <c r="A325" s="1">
        <v>48964</v>
      </c>
      <c r="B325" t="s">
        <v>9</v>
      </c>
      <c r="C325">
        <v>20.6</v>
      </c>
      <c r="D325">
        <v>0</v>
      </c>
      <c r="E325" s="2">
        <f>C325*D325 / 100</f>
        <v>0</v>
      </c>
      <c r="F325">
        <f>IF(F324 &lt; 7, F324 +1,1)</f>
        <v>2</v>
      </c>
      <c r="G325" t="str">
        <f t="shared" si="4"/>
        <v/>
      </c>
    </row>
    <row r="326" spans="1:7">
      <c r="A326" s="1">
        <v>48965</v>
      </c>
      <c r="B326" t="s">
        <v>19</v>
      </c>
      <c r="C326">
        <v>15.5</v>
      </c>
      <c r="D326">
        <v>16.8</v>
      </c>
      <c r="E326" s="2">
        <f>C326*D326 / 100</f>
        <v>2.6040000000000005</v>
      </c>
      <c r="F326">
        <f>IF(F325 &lt; 7, F325 +1,1)</f>
        <v>3</v>
      </c>
      <c r="G326" t="str">
        <f t="shared" si="4"/>
        <v/>
      </c>
    </row>
    <row r="327" spans="1:7">
      <c r="A327" s="1">
        <v>48966</v>
      </c>
      <c r="B327" t="s">
        <v>34</v>
      </c>
      <c r="C327">
        <v>22.2</v>
      </c>
      <c r="D327">
        <v>2.4</v>
      </c>
      <c r="E327" s="2">
        <f>C327*D327 / 100</f>
        <v>0.53279999999999994</v>
      </c>
      <c r="F327">
        <f>IF(F326 &lt; 7, F326 +1,1)</f>
        <v>4</v>
      </c>
      <c r="G327" t="str">
        <f t="shared" si="4"/>
        <v/>
      </c>
    </row>
    <row r="328" spans="1:7">
      <c r="A328" s="1">
        <v>48967</v>
      </c>
      <c r="B328" t="s">
        <v>19</v>
      </c>
      <c r="C328">
        <v>15</v>
      </c>
      <c r="D328">
        <v>4.0999999999999996</v>
      </c>
      <c r="E328" s="2">
        <f>C328*D328 / 100</f>
        <v>0.61499999999999988</v>
      </c>
      <c r="F328">
        <f>IF(F327 &lt; 7, F327 +1,1)</f>
        <v>5</v>
      </c>
      <c r="G328" t="str">
        <f t="shared" si="4"/>
        <v/>
      </c>
    </row>
    <row r="329" spans="1:7">
      <c r="A329" s="1">
        <v>48968</v>
      </c>
      <c r="B329" t="s">
        <v>36</v>
      </c>
      <c r="C329">
        <v>18.399999999999999</v>
      </c>
      <c r="D329">
        <v>30.4</v>
      </c>
      <c r="E329" s="2">
        <f>C329*D329 / 100</f>
        <v>5.5935999999999986</v>
      </c>
      <c r="F329">
        <f>IF(F328 &lt; 7, F328 +1,1)</f>
        <v>6</v>
      </c>
      <c r="G329" t="str">
        <f t="shared" ref="G329:G392" si="5">IF(F329=7, SUM(C323:C329), "")</f>
        <v/>
      </c>
    </row>
    <row r="330" spans="1:7">
      <c r="A330" s="1">
        <v>48969</v>
      </c>
      <c r="B330" t="s">
        <v>27</v>
      </c>
      <c r="C330">
        <v>29.3</v>
      </c>
      <c r="D330">
        <v>0.4</v>
      </c>
      <c r="E330" s="2">
        <f>C330*D330 / 100</f>
        <v>0.11720000000000001</v>
      </c>
      <c r="F330">
        <f>IF(F329 &lt; 7, F329 +1,1)</f>
        <v>7</v>
      </c>
      <c r="G330">
        <f t="shared" si="5"/>
        <v>141.10000000000002</v>
      </c>
    </row>
    <row r="331" spans="1:7">
      <c r="A331" s="1">
        <v>48970</v>
      </c>
      <c r="B331" t="s">
        <v>6</v>
      </c>
      <c r="C331">
        <v>23.9</v>
      </c>
      <c r="D331">
        <v>3.3</v>
      </c>
      <c r="E331" s="2">
        <f>C331*D331 / 100</f>
        <v>0.78869999999999996</v>
      </c>
      <c r="F331">
        <f>IF(F330 &lt; 7, F330 +1,1)</f>
        <v>1</v>
      </c>
      <c r="G331" t="str">
        <f t="shared" si="5"/>
        <v/>
      </c>
    </row>
    <row r="332" spans="1:7">
      <c r="A332" s="1">
        <v>48971</v>
      </c>
      <c r="B332" t="s">
        <v>18</v>
      </c>
      <c r="C332">
        <v>29.8</v>
      </c>
      <c r="D332">
        <v>3.3</v>
      </c>
      <c r="E332" s="2">
        <f>C332*D332 / 100</f>
        <v>0.98340000000000005</v>
      </c>
      <c r="F332">
        <f>IF(F331 &lt; 7, F331 +1,1)</f>
        <v>2</v>
      </c>
      <c r="G332" t="str">
        <f t="shared" si="5"/>
        <v/>
      </c>
    </row>
    <row r="333" spans="1:7">
      <c r="A333" s="1">
        <v>48972</v>
      </c>
      <c r="B333" t="s">
        <v>21</v>
      </c>
      <c r="C333">
        <v>29.1</v>
      </c>
      <c r="D333">
        <v>23</v>
      </c>
      <c r="E333" s="2">
        <f>C333*D333 / 100</f>
        <v>6.6930000000000005</v>
      </c>
      <c r="F333">
        <f>IF(F332 &lt; 7, F332 +1,1)</f>
        <v>3</v>
      </c>
      <c r="G333" t="str">
        <f t="shared" si="5"/>
        <v/>
      </c>
    </row>
    <row r="334" spans="1:7">
      <c r="A334" s="1">
        <v>48973</v>
      </c>
      <c r="B334" t="s">
        <v>9</v>
      </c>
      <c r="C334">
        <v>22.5</v>
      </c>
      <c r="D334">
        <v>17.2</v>
      </c>
      <c r="E334" s="2">
        <f>C334*D334 / 100</f>
        <v>3.87</v>
      </c>
      <c r="F334">
        <f>IF(F333 &lt; 7, F333 +1,1)</f>
        <v>4</v>
      </c>
      <c r="G334" t="str">
        <f t="shared" si="5"/>
        <v/>
      </c>
    </row>
    <row r="335" spans="1:7">
      <c r="A335" s="1">
        <v>48974</v>
      </c>
      <c r="B335" t="s">
        <v>36</v>
      </c>
      <c r="C335">
        <v>15.3</v>
      </c>
      <c r="D335">
        <v>21.5</v>
      </c>
      <c r="E335" s="2">
        <f>C335*D335 / 100</f>
        <v>3.2894999999999999</v>
      </c>
      <c r="F335">
        <f>IF(F334 &lt; 7, F334 +1,1)</f>
        <v>5</v>
      </c>
      <c r="G335" t="str">
        <f t="shared" si="5"/>
        <v/>
      </c>
    </row>
    <row r="336" spans="1:7">
      <c r="A336" s="1">
        <v>48975</v>
      </c>
      <c r="B336" t="s">
        <v>21</v>
      </c>
      <c r="C336">
        <v>13.8</v>
      </c>
      <c r="D336">
        <v>40.4</v>
      </c>
      <c r="E336" s="2">
        <f>C336*D336 / 100</f>
        <v>5.5751999999999997</v>
      </c>
      <c r="F336">
        <f>IF(F335 &lt; 7, F335 +1,1)</f>
        <v>6</v>
      </c>
      <c r="G336" t="str">
        <f t="shared" si="5"/>
        <v/>
      </c>
    </row>
    <row r="337" spans="1:7">
      <c r="A337" s="1">
        <v>48976</v>
      </c>
      <c r="B337" t="s">
        <v>16</v>
      </c>
      <c r="C337">
        <v>12.3</v>
      </c>
      <c r="D337">
        <v>0</v>
      </c>
      <c r="E337" s="2">
        <f>C337*D337 / 100</f>
        <v>0</v>
      </c>
      <c r="F337">
        <f>IF(F336 &lt; 7, F336 +1,1)</f>
        <v>7</v>
      </c>
      <c r="G337">
        <f t="shared" si="5"/>
        <v>146.70000000000002</v>
      </c>
    </row>
    <row r="338" spans="1:7">
      <c r="A338" s="1">
        <v>48977</v>
      </c>
      <c r="B338" t="s">
        <v>10</v>
      </c>
      <c r="C338">
        <v>18.5</v>
      </c>
      <c r="D338">
        <v>4.2</v>
      </c>
      <c r="E338" s="2">
        <f>C338*D338 / 100</f>
        <v>0.77700000000000002</v>
      </c>
      <c r="F338">
        <f>IF(F337 &lt; 7, F337 +1,1)</f>
        <v>1</v>
      </c>
      <c r="G338" t="str">
        <f t="shared" si="5"/>
        <v/>
      </c>
    </row>
    <row r="339" spans="1:7">
      <c r="A339" s="1">
        <v>48978</v>
      </c>
      <c r="B339" t="s">
        <v>18</v>
      </c>
      <c r="C339">
        <v>10.3</v>
      </c>
      <c r="D339">
        <v>3.2</v>
      </c>
      <c r="E339" s="2">
        <f>C339*D339 / 100</f>
        <v>0.3296</v>
      </c>
      <c r="F339">
        <f>IF(F338 &lt; 7, F338 +1,1)</f>
        <v>2</v>
      </c>
      <c r="G339" t="str">
        <f t="shared" si="5"/>
        <v/>
      </c>
    </row>
    <row r="340" spans="1:7">
      <c r="A340" s="1">
        <v>48979</v>
      </c>
      <c r="B340" t="s">
        <v>36</v>
      </c>
      <c r="C340">
        <v>24.9</v>
      </c>
      <c r="D340">
        <v>12.1</v>
      </c>
      <c r="E340" s="2">
        <f>C340*D340 / 100</f>
        <v>3.0128999999999997</v>
      </c>
      <c r="F340">
        <f>IF(F339 &lt; 7, F339 +1,1)</f>
        <v>3</v>
      </c>
      <c r="G340" t="str">
        <f t="shared" si="5"/>
        <v/>
      </c>
    </row>
    <row r="341" spans="1:7">
      <c r="A341" s="1">
        <v>48980</v>
      </c>
      <c r="B341" t="s">
        <v>21</v>
      </c>
      <c r="C341">
        <v>26.4</v>
      </c>
      <c r="D341">
        <v>0</v>
      </c>
      <c r="E341" s="2">
        <f>C341*D341 / 100</f>
        <v>0</v>
      </c>
      <c r="F341">
        <f>IF(F340 &lt; 7, F340 +1,1)</f>
        <v>4</v>
      </c>
      <c r="G341" t="str">
        <f t="shared" si="5"/>
        <v/>
      </c>
    </row>
    <row r="342" spans="1:7">
      <c r="A342" s="1">
        <v>48981</v>
      </c>
      <c r="B342" t="s">
        <v>16</v>
      </c>
      <c r="C342">
        <v>11.8</v>
      </c>
      <c r="D342">
        <v>0</v>
      </c>
      <c r="E342" s="2">
        <f>C342*D342 / 100</f>
        <v>0</v>
      </c>
      <c r="F342">
        <f>IF(F341 &lt; 7, F341 +1,1)</f>
        <v>5</v>
      </c>
      <c r="G342" t="str">
        <f t="shared" si="5"/>
        <v/>
      </c>
    </row>
    <row r="343" spans="1:7">
      <c r="A343" s="1">
        <v>48982</v>
      </c>
      <c r="B343" t="s">
        <v>30</v>
      </c>
      <c r="C343">
        <v>11</v>
      </c>
      <c r="D343">
        <v>7.5</v>
      </c>
      <c r="E343" s="2">
        <f>C343*D343 / 100</f>
        <v>0.82499999999999996</v>
      </c>
      <c r="F343">
        <f>IF(F342 &lt; 7, F342 +1,1)</f>
        <v>6</v>
      </c>
      <c r="G343" t="str">
        <f t="shared" si="5"/>
        <v/>
      </c>
    </row>
    <row r="344" spans="1:7">
      <c r="A344" s="1">
        <v>48983</v>
      </c>
      <c r="B344" t="s">
        <v>21</v>
      </c>
      <c r="C344">
        <v>15.4</v>
      </c>
      <c r="D344">
        <v>5.2</v>
      </c>
      <c r="E344" s="2">
        <f>C344*D344 / 100</f>
        <v>0.80079999999999996</v>
      </c>
      <c r="F344">
        <f>IF(F343 &lt; 7, F343 +1,1)</f>
        <v>7</v>
      </c>
      <c r="G344">
        <f t="shared" si="5"/>
        <v>118.3</v>
      </c>
    </row>
    <row r="345" spans="1:7">
      <c r="A345" s="1">
        <v>48984</v>
      </c>
      <c r="B345" t="s">
        <v>14</v>
      </c>
      <c r="C345">
        <v>25.7</v>
      </c>
      <c r="D345">
        <v>5.8</v>
      </c>
      <c r="E345" s="2">
        <f>C345*D345 / 100</f>
        <v>1.4905999999999999</v>
      </c>
      <c r="F345">
        <f>IF(F344 &lt; 7, F344 +1,1)</f>
        <v>1</v>
      </c>
      <c r="G345" t="str">
        <f t="shared" si="5"/>
        <v/>
      </c>
    </row>
    <row r="346" spans="1:7">
      <c r="A346" s="1">
        <v>48985</v>
      </c>
      <c r="B346" t="s">
        <v>19</v>
      </c>
      <c r="C346">
        <v>14.8</v>
      </c>
      <c r="D346">
        <v>0</v>
      </c>
      <c r="E346" s="2">
        <f>C346*D346 / 100</f>
        <v>0</v>
      </c>
      <c r="F346">
        <f>IF(F345 &lt; 7, F345 +1,1)</f>
        <v>2</v>
      </c>
      <c r="G346" t="str">
        <f t="shared" si="5"/>
        <v/>
      </c>
    </row>
    <row r="347" spans="1:7">
      <c r="A347" s="1">
        <v>48986</v>
      </c>
      <c r="B347" t="s">
        <v>20</v>
      </c>
      <c r="C347">
        <v>21.5</v>
      </c>
      <c r="D347">
        <v>0.8</v>
      </c>
      <c r="E347" s="2">
        <f>C347*D347 / 100</f>
        <v>0.17199999999999999</v>
      </c>
      <c r="F347">
        <f>IF(F346 &lt; 7, F346 +1,1)</f>
        <v>3</v>
      </c>
      <c r="G347" t="str">
        <f t="shared" si="5"/>
        <v/>
      </c>
    </row>
    <row r="348" spans="1:7">
      <c r="A348" s="1">
        <v>48987</v>
      </c>
      <c r="B348" t="s">
        <v>36</v>
      </c>
      <c r="C348">
        <v>26.2</v>
      </c>
      <c r="D348">
        <v>8.9</v>
      </c>
      <c r="E348" s="2">
        <f>C348*D348 / 100</f>
        <v>2.3317999999999999</v>
      </c>
      <c r="F348">
        <f>IF(F347 &lt; 7, F347 +1,1)</f>
        <v>4</v>
      </c>
      <c r="G348" t="str">
        <f t="shared" si="5"/>
        <v/>
      </c>
    </row>
    <row r="349" spans="1:7">
      <c r="A349" s="1">
        <v>48988</v>
      </c>
      <c r="B349" t="s">
        <v>15</v>
      </c>
      <c r="C349">
        <v>20.6</v>
      </c>
      <c r="D349">
        <v>0.1</v>
      </c>
      <c r="E349" s="2">
        <f>C349*D349 / 100</f>
        <v>2.06E-2</v>
      </c>
      <c r="F349">
        <f>IF(F348 &lt; 7, F348 +1,1)</f>
        <v>5</v>
      </c>
      <c r="G349" t="str">
        <f t="shared" si="5"/>
        <v/>
      </c>
    </row>
    <row r="350" spans="1:7">
      <c r="A350" s="1">
        <v>48989</v>
      </c>
      <c r="B350" t="s">
        <v>21</v>
      </c>
      <c r="C350">
        <v>14.1</v>
      </c>
      <c r="D350">
        <v>20.9</v>
      </c>
      <c r="E350" s="2">
        <f>C350*D350 / 100</f>
        <v>2.9468999999999999</v>
      </c>
      <c r="F350">
        <f>IF(F349 &lt; 7, F349 +1,1)</f>
        <v>6</v>
      </c>
      <c r="G350" t="str">
        <f t="shared" si="5"/>
        <v/>
      </c>
    </row>
    <row r="351" spans="1:7">
      <c r="A351" s="1">
        <v>48990</v>
      </c>
      <c r="B351" t="s">
        <v>13</v>
      </c>
      <c r="C351">
        <v>20.8</v>
      </c>
      <c r="D351">
        <v>0.7</v>
      </c>
      <c r="E351" s="2">
        <f>C351*D351 / 100</f>
        <v>0.14559999999999998</v>
      </c>
      <c r="F351">
        <f>IF(F350 &lt; 7, F350 +1,1)</f>
        <v>7</v>
      </c>
      <c r="G351">
        <f t="shared" si="5"/>
        <v>143.70000000000002</v>
      </c>
    </row>
    <row r="352" spans="1:7">
      <c r="A352" s="1">
        <v>48991</v>
      </c>
      <c r="B352" t="s">
        <v>29</v>
      </c>
      <c r="C352">
        <v>17.600000000000001</v>
      </c>
      <c r="D352">
        <v>10.5</v>
      </c>
      <c r="E352" s="2">
        <f>C352*D352 / 100</f>
        <v>1.8480000000000001</v>
      </c>
      <c r="F352">
        <f>IF(F351 &lt; 7, F351 +1,1)</f>
        <v>1</v>
      </c>
      <c r="G352" t="str">
        <f t="shared" si="5"/>
        <v/>
      </c>
    </row>
    <row r="353" spans="1:7">
      <c r="A353" s="1">
        <v>48992</v>
      </c>
      <c r="B353" t="s">
        <v>21</v>
      </c>
      <c r="C353">
        <v>16.8</v>
      </c>
      <c r="D353">
        <v>38.9</v>
      </c>
      <c r="E353" s="2">
        <f>C353*D353 / 100</f>
        <v>6.5351999999999997</v>
      </c>
      <c r="F353">
        <f>IF(F352 &lt; 7, F352 +1,1)</f>
        <v>2</v>
      </c>
      <c r="G353" t="str">
        <f t="shared" si="5"/>
        <v/>
      </c>
    </row>
    <row r="354" spans="1:7">
      <c r="A354" s="1">
        <v>48993</v>
      </c>
      <c r="B354" t="s">
        <v>15</v>
      </c>
      <c r="C354">
        <v>23.1</v>
      </c>
      <c r="D354">
        <v>0</v>
      </c>
      <c r="E354" s="2">
        <f>C354*D354 / 100</f>
        <v>0</v>
      </c>
      <c r="F354">
        <f>IF(F353 &lt; 7, F353 +1,1)</f>
        <v>3</v>
      </c>
      <c r="G354" t="str">
        <f t="shared" si="5"/>
        <v/>
      </c>
    </row>
    <row r="355" spans="1:7">
      <c r="A355" s="1">
        <v>48994</v>
      </c>
      <c r="B355" t="s">
        <v>14</v>
      </c>
      <c r="C355">
        <v>16.3</v>
      </c>
      <c r="D355">
        <v>3.4</v>
      </c>
      <c r="E355" s="2">
        <f>C355*D355 / 100</f>
        <v>0.55420000000000003</v>
      </c>
      <c r="F355">
        <f>IF(F354 &lt; 7, F354 +1,1)</f>
        <v>4</v>
      </c>
      <c r="G355" t="str">
        <f t="shared" si="5"/>
        <v/>
      </c>
    </row>
    <row r="356" spans="1:7">
      <c r="A356" s="1">
        <v>48995</v>
      </c>
      <c r="B356" t="s">
        <v>16</v>
      </c>
      <c r="C356">
        <v>15.7</v>
      </c>
      <c r="D356">
        <v>10.9</v>
      </c>
      <c r="E356" s="2">
        <f>C356*D356 / 100</f>
        <v>1.7113</v>
      </c>
      <c r="F356">
        <f>IF(F355 &lt; 7, F355 +1,1)</f>
        <v>5</v>
      </c>
      <c r="G356" t="str">
        <f t="shared" si="5"/>
        <v/>
      </c>
    </row>
    <row r="357" spans="1:7">
      <c r="A357" s="1">
        <v>48996</v>
      </c>
      <c r="B357" t="s">
        <v>29</v>
      </c>
      <c r="C357">
        <v>29.3</v>
      </c>
      <c r="D357">
        <v>2.1</v>
      </c>
      <c r="E357" s="2">
        <f>C357*D357 / 100</f>
        <v>0.61529999999999996</v>
      </c>
      <c r="F357">
        <f>IF(F356 &lt; 7, F356 +1,1)</f>
        <v>6</v>
      </c>
      <c r="G357" t="str">
        <f t="shared" si="5"/>
        <v/>
      </c>
    </row>
    <row r="358" spans="1:7">
      <c r="A358" s="1">
        <v>48997</v>
      </c>
      <c r="B358" t="s">
        <v>24</v>
      </c>
      <c r="C358">
        <v>24</v>
      </c>
      <c r="D358">
        <v>7.3</v>
      </c>
      <c r="E358" s="2">
        <f>C358*D358 / 100</f>
        <v>1.7519999999999998</v>
      </c>
      <c r="F358">
        <f>IF(F357 &lt; 7, F357 +1,1)</f>
        <v>7</v>
      </c>
      <c r="G358">
        <f t="shared" si="5"/>
        <v>142.80000000000001</v>
      </c>
    </row>
    <row r="359" spans="1:7">
      <c r="A359" s="1">
        <v>48998</v>
      </c>
      <c r="B359" t="s">
        <v>30</v>
      </c>
      <c r="C359">
        <v>27</v>
      </c>
      <c r="D359">
        <v>0.6</v>
      </c>
      <c r="E359" s="2">
        <f>C359*D359 / 100</f>
        <v>0.16200000000000001</v>
      </c>
      <c r="F359">
        <f>IF(F358 &lt; 7, F358 +1,1)</f>
        <v>1</v>
      </c>
      <c r="G359" t="str">
        <f t="shared" si="5"/>
        <v/>
      </c>
    </row>
    <row r="360" spans="1:7">
      <c r="A360" s="1">
        <v>48999</v>
      </c>
      <c r="B360" t="s">
        <v>21</v>
      </c>
      <c r="C360">
        <v>26.3</v>
      </c>
      <c r="D360">
        <v>1.2</v>
      </c>
      <c r="E360" s="2">
        <f>C360*D360 / 100</f>
        <v>0.31559999999999999</v>
      </c>
      <c r="F360">
        <f>IF(F359 &lt; 7, F359 +1,1)</f>
        <v>2</v>
      </c>
      <c r="G360" t="str">
        <f t="shared" si="5"/>
        <v/>
      </c>
    </row>
    <row r="361" spans="1:7">
      <c r="A361" s="1">
        <v>49000</v>
      </c>
      <c r="B361" t="s">
        <v>33</v>
      </c>
      <c r="C361">
        <v>26.3</v>
      </c>
      <c r="D361">
        <v>8.1999999999999993</v>
      </c>
      <c r="E361" s="2">
        <f>C361*D361 / 100</f>
        <v>2.1566000000000001</v>
      </c>
      <c r="F361">
        <f>IF(F360 &lt; 7, F360 +1,1)</f>
        <v>3</v>
      </c>
      <c r="G361" t="str">
        <f t="shared" si="5"/>
        <v/>
      </c>
    </row>
    <row r="362" spans="1:7">
      <c r="A362" s="1">
        <v>49001</v>
      </c>
      <c r="B362" t="s">
        <v>30</v>
      </c>
      <c r="C362">
        <v>25.2</v>
      </c>
      <c r="D362">
        <v>4.7</v>
      </c>
      <c r="E362" s="2">
        <f>C362*D362 / 100</f>
        <v>1.1843999999999999</v>
      </c>
      <c r="F362">
        <f>IF(F361 &lt; 7, F361 +1,1)</f>
        <v>4</v>
      </c>
      <c r="G362" t="str">
        <f t="shared" si="5"/>
        <v/>
      </c>
    </row>
    <row r="363" spans="1:7">
      <c r="A363" s="1">
        <v>49002</v>
      </c>
      <c r="B363" t="s">
        <v>21</v>
      </c>
      <c r="C363">
        <v>22.1</v>
      </c>
      <c r="D363">
        <v>0</v>
      </c>
      <c r="E363" s="2">
        <f>C363*D363 / 100</f>
        <v>0</v>
      </c>
      <c r="F363">
        <f>IF(F362 &lt; 7, F362 +1,1)</f>
        <v>5</v>
      </c>
      <c r="G363" t="str">
        <f t="shared" si="5"/>
        <v/>
      </c>
    </row>
    <row r="364" spans="1:7">
      <c r="A364" s="1">
        <v>49003</v>
      </c>
      <c r="B364" t="s">
        <v>21</v>
      </c>
      <c r="C364">
        <v>11.9</v>
      </c>
      <c r="D364">
        <v>41.6</v>
      </c>
      <c r="E364" s="2">
        <f>C364*D364 / 100</f>
        <v>4.9504000000000001</v>
      </c>
      <c r="F364">
        <f>IF(F363 &lt; 7, F363 +1,1)</f>
        <v>6</v>
      </c>
      <c r="G364" t="str">
        <f t="shared" si="5"/>
        <v/>
      </c>
    </row>
    <row r="365" spans="1:7">
      <c r="A365" s="1">
        <v>49004</v>
      </c>
      <c r="B365" t="s">
        <v>19</v>
      </c>
      <c r="C365">
        <v>19.600000000000001</v>
      </c>
      <c r="D365">
        <v>0</v>
      </c>
      <c r="E365" s="2">
        <f>C365*D365 / 100</f>
        <v>0</v>
      </c>
      <c r="F365">
        <f>IF(F364 &lt; 7, F364 +1,1)</f>
        <v>7</v>
      </c>
      <c r="G365">
        <f t="shared" si="5"/>
        <v>158.4</v>
      </c>
    </row>
    <row r="366" spans="1:7">
      <c r="A366" s="1">
        <v>49005</v>
      </c>
      <c r="B366" t="s">
        <v>14</v>
      </c>
      <c r="C366">
        <v>15.9</v>
      </c>
      <c r="D366">
        <v>0</v>
      </c>
      <c r="E366" s="2">
        <f>C366*D366 / 100</f>
        <v>0</v>
      </c>
      <c r="F366">
        <f>IF(F365 &lt; 7, F365 +1,1)</f>
        <v>1</v>
      </c>
      <c r="G366" t="str">
        <f t="shared" si="5"/>
        <v/>
      </c>
    </row>
    <row r="367" spans="1:7">
      <c r="A367" s="1">
        <v>49006</v>
      </c>
      <c r="B367" t="s">
        <v>34</v>
      </c>
      <c r="C367">
        <v>24.3</v>
      </c>
      <c r="D367">
        <v>1.7</v>
      </c>
      <c r="E367" s="2">
        <f>C367*D367 / 100</f>
        <v>0.41310000000000002</v>
      </c>
      <c r="F367">
        <f>IF(F366 &lt; 7, F366 +1,1)</f>
        <v>2</v>
      </c>
      <c r="G367" t="str">
        <f t="shared" si="5"/>
        <v/>
      </c>
    </row>
    <row r="368" spans="1:7">
      <c r="A368" s="1">
        <v>49007</v>
      </c>
      <c r="B368" t="s">
        <v>11</v>
      </c>
      <c r="C368">
        <v>20</v>
      </c>
      <c r="D368">
        <v>0</v>
      </c>
      <c r="E368" s="2">
        <f>C368*D368 / 100</f>
        <v>0</v>
      </c>
      <c r="F368">
        <f>IF(F367 &lt; 7, F367 +1,1)</f>
        <v>3</v>
      </c>
      <c r="G368" t="str">
        <f t="shared" si="5"/>
        <v/>
      </c>
    </row>
    <row r="369" spans="1:7">
      <c r="A369" s="1">
        <v>49008</v>
      </c>
      <c r="B369" t="s">
        <v>21</v>
      </c>
      <c r="C369">
        <v>14.2</v>
      </c>
      <c r="D369">
        <v>32.200000000000003</v>
      </c>
      <c r="E369" s="2">
        <f>C369*D369 / 100</f>
        <v>4.5724</v>
      </c>
      <c r="F369">
        <f>IF(F368 &lt; 7, F368 +1,1)</f>
        <v>4</v>
      </c>
      <c r="G369" t="str">
        <f t="shared" si="5"/>
        <v/>
      </c>
    </row>
    <row r="370" spans="1:7">
      <c r="A370" s="1">
        <v>49009</v>
      </c>
      <c r="B370" t="s">
        <v>16</v>
      </c>
      <c r="C370">
        <v>20.5</v>
      </c>
      <c r="D370">
        <v>18.3</v>
      </c>
      <c r="E370" s="2">
        <f>C370*D370 / 100</f>
        <v>3.7515000000000005</v>
      </c>
      <c r="F370">
        <f>IF(F369 &lt; 7, F369 +1,1)</f>
        <v>5</v>
      </c>
      <c r="G370" t="str">
        <f t="shared" si="5"/>
        <v/>
      </c>
    </row>
    <row r="371" spans="1:7">
      <c r="A371" s="1">
        <v>49010</v>
      </c>
      <c r="B371" t="s">
        <v>21</v>
      </c>
      <c r="C371">
        <v>22.4</v>
      </c>
      <c r="D371">
        <v>0</v>
      </c>
      <c r="E371" s="2">
        <f>C371*D371 / 100</f>
        <v>0</v>
      </c>
      <c r="F371">
        <f>IF(F370 &lt; 7, F370 +1,1)</f>
        <v>6</v>
      </c>
      <c r="G371" t="str">
        <f t="shared" si="5"/>
        <v/>
      </c>
    </row>
    <row r="372" spans="1:7">
      <c r="A372" s="1">
        <v>49011</v>
      </c>
      <c r="B372" t="s">
        <v>24</v>
      </c>
      <c r="C372">
        <v>19.100000000000001</v>
      </c>
      <c r="D372">
        <v>0</v>
      </c>
      <c r="E372" s="2">
        <f>C372*D372 / 100</f>
        <v>0</v>
      </c>
      <c r="F372">
        <f>IF(F371 &lt; 7, F371 +1,1)</f>
        <v>7</v>
      </c>
      <c r="G372">
        <f t="shared" si="5"/>
        <v>136.4</v>
      </c>
    </row>
    <row r="373" spans="1:7">
      <c r="A373" s="1">
        <v>49012</v>
      </c>
      <c r="B373" t="s">
        <v>33</v>
      </c>
      <c r="C373">
        <v>20.399999999999999</v>
      </c>
      <c r="D373">
        <v>4.3</v>
      </c>
      <c r="E373" s="2">
        <f>C373*D373 / 100</f>
        <v>0.87719999999999987</v>
      </c>
      <c r="F373">
        <f>IF(F372 &lt; 7, F372 +1,1)</f>
        <v>1</v>
      </c>
      <c r="G373" t="str">
        <f t="shared" si="5"/>
        <v/>
      </c>
    </row>
    <row r="374" spans="1:7">
      <c r="A374" s="1">
        <v>49013</v>
      </c>
      <c r="B374" t="s">
        <v>36</v>
      </c>
      <c r="C374">
        <v>29.8</v>
      </c>
      <c r="D374">
        <v>0</v>
      </c>
      <c r="E374" s="2">
        <f>C374*D374 / 100</f>
        <v>0</v>
      </c>
      <c r="F374">
        <f>IF(F373 &lt; 7, F373 +1,1)</f>
        <v>2</v>
      </c>
      <c r="G374" t="str">
        <f t="shared" si="5"/>
        <v/>
      </c>
    </row>
    <row r="375" spans="1:7">
      <c r="A375" s="1">
        <v>49014</v>
      </c>
      <c r="B375" t="s">
        <v>32</v>
      </c>
      <c r="C375">
        <v>13.7</v>
      </c>
      <c r="D375">
        <v>0.7</v>
      </c>
      <c r="E375" s="2">
        <f>C375*D375 / 100</f>
        <v>9.5899999999999985E-2</v>
      </c>
      <c r="F375">
        <f>IF(F374 &lt; 7, F374 +1,1)</f>
        <v>3</v>
      </c>
      <c r="G375" t="str">
        <f t="shared" si="5"/>
        <v/>
      </c>
    </row>
    <row r="376" spans="1:7">
      <c r="A376" s="1">
        <v>49015</v>
      </c>
      <c r="B376" t="s">
        <v>22</v>
      </c>
      <c r="C376">
        <v>20.2</v>
      </c>
      <c r="D376">
        <v>3.7</v>
      </c>
      <c r="E376" s="2">
        <f>C376*D376 / 100</f>
        <v>0.74739999999999995</v>
      </c>
      <c r="F376">
        <f>IF(F375 &lt; 7, F375 +1,1)</f>
        <v>4</v>
      </c>
      <c r="G376" t="str">
        <f t="shared" si="5"/>
        <v/>
      </c>
    </row>
    <row r="377" spans="1:7">
      <c r="A377" s="1">
        <v>49016</v>
      </c>
      <c r="B377" t="s">
        <v>9</v>
      </c>
      <c r="C377">
        <v>18.2</v>
      </c>
      <c r="D377">
        <v>1.6</v>
      </c>
      <c r="E377" s="2">
        <f>C377*D377 / 100</f>
        <v>0.29120000000000001</v>
      </c>
      <c r="F377">
        <f>IF(F376 &lt; 7, F376 +1,1)</f>
        <v>5</v>
      </c>
      <c r="G377" t="str">
        <f t="shared" si="5"/>
        <v/>
      </c>
    </row>
    <row r="378" spans="1:7">
      <c r="A378" s="1">
        <v>49017</v>
      </c>
      <c r="B378" t="s">
        <v>19</v>
      </c>
      <c r="C378">
        <v>14.2</v>
      </c>
      <c r="D378">
        <v>2</v>
      </c>
      <c r="E378" s="2">
        <f>C378*D378 / 100</f>
        <v>0.28399999999999997</v>
      </c>
      <c r="F378">
        <f>IF(F377 &lt; 7, F377 +1,1)</f>
        <v>6</v>
      </c>
      <c r="G378" t="str">
        <f t="shared" si="5"/>
        <v/>
      </c>
    </row>
    <row r="379" spans="1:7">
      <c r="A379" s="1">
        <v>49018</v>
      </c>
      <c r="B379" t="s">
        <v>33</v>
      </c>
      <c r="C379">
        <v>11.2</v>
      </c>
      <c r="D379">
        <v>14.3</v>
      </c>
      <c r="E379" s="2">
        <f>C379*D379 / 100</f>
        <v>1.6015999999999999</v>
      </c>
      <c r="F379">
        <f>IF(F378 &lt; 7, F378 +1,1)</f>
        <v>7</v>
      </c>
      <c r="G379">
        <f t="shared" si="5"/>
        <v>127.70000000000002</v>
      </c>
    </row>
    <row r="380" spans="1:7">
      <c r="A380" s="1">
        <v>49019</v>
      </c>
      <c r="B380" t="s">
        <v>27</v>
      </c>
      <c r="C380">
        <v>13.9</v>
      </c>
      <c r="D380">
        <v>0.2</v>
      </c>
      <c r="E380" s="2">
        <f>C380*D380 / 100</f>
        <v>2.7800000000000002E-2</v>
      </c>
      <c r="F380">
        <f>IF(F379 &lt; 7, F379 +1,1)</f>
        <v>1</v>
      </c>
      <c r="G380" t="str">
        <f t="shared" si="5"/>
        <v/>
      </c>
    </row>
    <row r="381" spans="1:7">
      <c r="A381" s="1">
        <v>49020</v>
      </c>
      <c r="B381" t="s">
        <v>9</v>
      </c>
      <c r="C381">
        <v>22.6</v>
      </c>
      <c r="D381">
        <v>15.1</v>
      </c>
      <c r="E381" s="2">
        <f>C381*D381 / 100</f>
        <v>3.4125999999999999</v>
      </c>
      <c r="F381">
        <f>IF(F380 &lt; 7, F380 +1,1)</f>
        <v>2</v>
      </c>
      <c r="G381" t="str">
        <f t="shared" si="5"/>
        <v/>
      </c>
    </row>
    <row r="382" spans="1:7">
      <c r="A382" s="1">
        <v>49021</v>
      </c>
      <c r="B382" t="s">
        <v>33</v>
      </c>
      <c r="C382">
        <v>29.8</v>
      </c>
      <c r="D382">
        <v>0</v>
      </c>
      <c r="E382" s="2">
        <f>C382*D382 / 100</f>
        <v>0</v>
      </c>
      <c r="F382">
        <f>IF(F381 &lt; 7, F381 +1,1)</f>
        <v>3</v>
      </c>
      <c r="G382" t="str">
        <f t="shared" si="5"/>
        <v/>
      </c>
    </row>
    <row r="383" spans="1:7">
      <c r="A383" s="1">
        <v>49022</v>
      </c>
      <c r="B383" t="s">
        <v>18</v>
      </c>
      <c r="C383">
        <v>12.7</v>
      </c>
      <c r="D383">
        <v>2.6</v>
      </c>
      <c r="E383" s="2">
        <f>C383*D383 / 100</f>
        <v>0.33019999999999994</v>
      </c>
      <c r="F383">
        <f>IF(F382 &lt; 7, F382 +1,1)</f>
        <v>4</v>
      </c>
      <c r="G383" t="str">
        <f t="shared" si="5"/>
        <v/>
      </c>
    </row>
    <row r="384" spans="1:7">
      <c r="A384" s="1">
        <v>49023</v>
      </c>
      <c r="B384" t="s">
        <v>14</v>
      </c>
      <c r="C384">
        <v>14.4</v>
      </c>
      <c r="D384">
        <v>0</v>
      </c>
      <c r="E384" s="2">
        <f>C384*D384 / 100</f>
        <v>0</v>
      </c>
      <c r="F384">
        <f>IF(F383 &lt; 7, F383 +1,1)</f>
        <v>5</v>
      </c>
      <c r="G384" t="str">
        <f t="shared" si="5"/>
        <v/>
      </c>
    </row>
    <row r="385" spans="1:7">
      <c r="A385" s="1">
        <v>49024</v>
      </c>
      <c r="B385" t="s">
        <v>32</v>
      </c>
      <c r="C385">
        <v>18.399999999999999</v>
      </c>
      <c r="D385">
        <v>0.2</v>
      </c>
      <c r="E385" s="2">
        <f>C385*D385 / 100</f>
        <v>3.6799999999999999E-2</v>
      </c>
      <c r="F385">
        <f>IF(F384 &lt; 7, F384 +1,1)</f>
        <v>6</v>
      </c>
      <c r="G385" t="str">
        <f t="shared" si="5"/>
        <v/>
      </c>
    </row>
    <row r="386" spans="1:7">
      <c r="A386" s="1">
        <v>49025</v>
      </c>
      <c r="B386" t="s">
        <v>26</v>
      </c>
      <c r="C386">
        <v>27.2</v>
      </c>
      <c r="D386">
        <v>9.6</v>
      </c>
      <c r="E386" s="2">
        <f>C386*D386 / 100</f>
        <v>2.6112000000000002</v>
      </c>
      <c r="F386">
        <f>IF(F385 &lt; 7, F385 +1,1)</f>
        <v>7</v>
      </c>
      <c r="G386">
        <f t="shared" si="5"/>
        <v>139</v>
      </c>
    </row>
    <row r="387" spans="1:7">
      <c r="A387" s="1">
        <v>49026</v>
      </c>
      <c r="B387" t="s">
        <v>24</v>
      </c>
      <c r="C387">
        <v>12.5</v>
      </c>
      <c r="D387">
        <v>8.8000000000000007</v>
      </c>
      <c r="E387" s="2">
        <f>C387*D387 / 100</f>
        <v>1.1000000000000001</v>
      </c>
      <c r="F387">
        <f>IF(F386 &lt; 7, F386 +1,1)</f>
        <v>1</v>
      </c>
      <c r="G387" t="str">
        <f t="shared" si="5"/>
        <v/>
      </c>
    </row>
    <row r="388" spans="1:7">
      <c r="A388" s="1">
        <v>49027</v>
      </c>
      <c r="B388" t="s">
        <v>12</v>
      </c>
      <c r="C388">
        <v>22.6</v>
      </c>
      <c r="D388">
        <v>3.5</v>
      </c>
      <c r="E388" s="2">
        <f>C388*D388 / 100</f>
        <v>0.79100000000000004</v>
      </c>
      <c r="F388">
        <f>IF(F387 &lt; 7, F387 +1,1)</f>
        <v>2</v>
      </c>
      <c r="G388" t="str">
        <f t="shared" si="5"/>
        <v/>
      </c>
    </row>
    <row r="389" spans="1:7">
      <c r="A389" s="1">
        <v>49028</v>
      </c>
      <c r="B389" t="s">
        <v>16</v>
      </c>
      <c r="C389">
        <v>21.8</v>
      </c>
      <c r="D389">
        <v>6.5</v>
      </c>
      <c r="E389" s="2">
        <f>C389*D389 / 100</f>
        <v>1.4170000000000003</v>
      </c>
      <c r="F389">
        <f>IF(F388 &lt; 7, F388 +1,1)</f>
        <v>3</v>
      </c>
      <c r="G389" t="str">
        <f t="shared" si="5"/>
        <v/>
      </c>
    </row>
    <row r="390" spans="1:7">
      <c r="A390" s="1">
        <v>49029</v>
      </c>
      <c r="B390" t="s">
        <v>6</v>
      </c>
      <c r="C390">
        <v>17.2</v>
      </c>
      <c r="D390">
        <v>0</v>
      </c>
      <c r="E390" s="2">
        <f>C390*D390 / 100</f>
        <v>0</v>
      </c>
      <c r="F390">
        <f>IF(F389 &lt; 7, F389 +1,1)</f>
        <v>4</v>
      </c>
      <c r="G390" t="str">
        <f t="shared" si="5"/>
        <v/>
      </c>
    </row>
    <row r="391" spans="1:7">
      <c r="A391" s="1">
        <v>49030</v>
      </c>
      <c r="B391" t="s">
        <v>19</v>
      </c>
      <c r="C391">
        <v>13.4</v>
      </c>
      <c r="D391">
        <v>14.1</v>
      </c>
      <c r="E391" s="2">
        <f>C391*D391 / 100</f>
        <v>1.8894</v>
      </c>
      <c r="F391">
        <f>IF(F390 &lt; 7, F390 +1,1)</f>
        <v>5</v>
      </c>
      <c r="G391" t="str">
        <f t="shared" si="5"/>
        <v/>
      </c>
    </row>
    <row r="392" spans="1:7">
      <c r="A392" s="1">
        <v>49031</v>
      </c>
      <c r="B392" t="s">
        <v>26</v>
      </c>
      <c r="C392">
        <v>13.8</v>
      </c>
      <c r="D392">
        <v>9.9</v>
      </c>
      <c r="E392" s="2">
        <f>C392*D392 / 100</f>
        <v>1.3662000000000001</v>
      </c>
      <c r="F392">
        <f>IF(F391 &lt; 7, F391 +1,1)</f>
        <v>6</v>
      </c>
      <c r="G392" t="str">
        <f t="shared" si="5"/>
        <v/>
      </c>
    </row>
    <row r="393" spans="1:7">
      <c r="A393" s="1">
        <v>49032</v>
      </c>
      <c r="B393" t="s">
        <v>13</v>
      </c>
      <c r="C393">
        <v>10.6</v>
      </c>
      <c r="D393">
        <v>1.2</v>
      </c>
      <c r="E393" s="2">
        <f>C393*D393 / 100</f>
        <v>0.12719999999999998</v>
      </c>
      <c r="F393">
        <f>IF(F392 &lt; 7, F392 +1,1)</f>
        <v>7</v>
      </c>
      <c r="G393">
        <f t="shared" ref="G393:G456" si="6">IF(F393=7, SUM(C387:C393), "")</f>
        <v>111.9</v>
      </c>
    </row>
    <row r="394" spans="1:7">
      <c r="A394" s="1">
        <v>49033</v>
      </c>
      <c r="B394" t="s">
        <v>31</v>
      </c>
      <c r="C394">
        <v>28.8</v>
      </c>
      <c r="D394">
        <v>0.1</v>
      </c>
      <c r="E394" s="2">
        <f>C394*D394 / 100</f>
        <v>2.8800000000000003E-2</v>
      </c>
      <c r="F394">
        <f>IF(F393 &lt; 7, F393 +1,1)</f>
        <v>1</v>
      </c>
      <c r="G394" t="str">
        <f t="shared" si="6"/>
        <v/>
      </c>
    </row>
    <row r="395" spans="1:7">
      <c r="A395" s="1">
        <v>49034</v>
      </c>
      <c r="B395" t="s">
        <v>5</v>
      </c>
      <c r="C395">
        <v>16.899999999999999</v>
      </c>
      <c r="D395">
        <v>0.7</v>
      </c>
      <c r="E395" s="2">
        <f>C395*D395 / 100</f>
        <v>0.11829999999999999</v>
      </c>
      <c r="F395">
        <f>IF(F394 &lt; 7, F394 +1,1)</f>
        <v>2</v>
      </c>
      <c r="G395" t="str">
        <f t="shared" si="6"/>
        <v/>
      </c>
    </row>
    <row r="396" spans="1:7">
      <c r="A396" s="1">
        <v>49035</v>
      </c>
      <c r="B396" t="s">
        <v>29</v>
      </c>
      <c r="C396">
        <v>11.2</v>
      </c>
      <c r="D396">
        <v>4.8</v>
      </c>
      <c r="E396" s="2">
        <f>C396*D396 / 100</f>
        <v>0.53759999999999997</v>
      </c>
      <c r="F396">
        <f>IF(F395 &lt; 7, F395 +1,1)</f>
        <v>3</v>
      </c>
      <c r="G396" t="str">
        <f t="shared" si="6"/>
        <v/>
      </c>
    </row>
    <row r="397" spans="1:7">
      <c r="A397" s="1">
        <v>49036</v>
      </c>
      <c r="B397" t="s">
        <v>21</v>
      </c>
      <c r="C397">
        <v>13.9</v>
      </c>
      <c r="D397">
        <v>23</v>
      </c>
      <c r="E397" s="2">
        <f>C397*D397 / 100</f>
        <v>3.1970000000000001</v>
      </c>
      <c r="F397">
        <f>IF(F396 &lt; 7, F396 +1,1)</f>
        <v>4</v>
      </c>
      <c r="G397" t="str">
        <f t="shared" si="6"/>
        <v/>
      </c>
    </row>
    <row r="398" spans="1:7">
      <c r="A398" s="1">
        <v>49037</v>
      </c>
      <c r="B398" t="s">
        <v>9</v>
      </c>
      <c r="C398">
        <v>25.3</v>
      </c>
      <c r="D398">
        <v>21.9</v>
      </c>
      <c r="E398" s="2">
        <f>C398*D398 / 100</f>
        <v>5.5406999999999993</v>
      </c>
      <c r="F398">
        <f>IF(F397 &lt; 7, F397 +1,1)</f>
        <v>5</v>
      </c>
      <c r="G398" t="str">
        <f t="shared" si="6"/>
        <v/>
      </c>
    </row>
    <row r="399" spans="1:7">
      <c r="A399" s="1">
        <v>49038</v>
      </c>
      <c r="B399" t="s">
        <v>21</v>
      </c>
      <c r="C399">
        <v>14.7</v>
      </c>
      <c r="D399">
        <v>0</v>
      </c>
      <c r="E399" s="2">
        <f>C399*D399 / 100</f>
        <v>0</v>
      </c>
      <c r="F399">
        <f>IF(F398 &lt; 7, F398 +1,1)</f>
        <v>6</v>
      </c>
      <c r="G399" t="str">
        <f t="shared" si="6"/>
        <v/>
      </c>
    </row>
    <row r="400" spans="1:7">
      <c r="A400" s="1">
        <v>49039</v>
      </c>
      <c r="B400" t="s">
        <v>34</v>
      </c>
      <c r="C400">
        <v>20.3</v>
      </c>
      <c r="D400">
        <v>5.3</v>
      </c>
      <c r="E400" s="2">
        <f>C400*D400 / 100</f>
        <v>1.0759000000000001</v>
      </c>
      <c r="F400">
        <f>IF(F399 &lt; 7, F399 +1,1)</f>
        <v>7</v>
      </c>
      <c r="G400">
        <f t="shared" si="6"/>
        <v>131.10000000000002</v>
      </c>
    </row>
    <row r="401" spans="1:7">
      <c r="A401" s="1">
        <v>49040</v>
      </c>
      <c r="B401" t="s">
        <v>33</v>
      </c>
      <c r="C401">
        <v>25</v>
      </c>
      <c r="D401">
        <v>3.8</v>
      </c>
      <c r="E401" s="2">
        <f>C401*D401 / 100</f>
        <v>0.95</v>
      </c>
      <c r="F401">
        <f>IF(F400 &lt; 7, F400 +1,1)</f>
        <v>1</v>
      </c>
      <c r="G401" t="str">
        <f t="shared" si="6"/>
        <v/>
      </c>
    </row>
    <row r="402" spans="1:7">
      <c r="A402" s="1">
        <v>49041</v>
      </c>
      <c r="B402" t="s">
        <v>29</v>
      </c>
      <c r="C402">
        <v>19.600000000000001</v>
      </c>
      <c r="D402">
        <v>0.6</v>
      </c>
      <c r="E402" s="2">
        <f>C402*D402 / 100</f>
        <v>0.1176</v>
      </c>
      <c r="F402">
        <f>IF(F401 &lt; 7, F401 +1,1)</f>
        <v>2</v>
      </c>
      <c r="G402" t="str">
        <f t="shared" si="6"/>
        <v/>
      </c>
    </row>
    <row r="403" spans="1:7">
      <c r="A403" s="1">
        <v>49042</v>
      </c>
      <c r="B403" t="s">
        <v>34</v>
      </c>
      <c r="C403">
        <v>10.8</v>
      </c>
      <c r="D403">
        <v>0</v>
      </c>
      <c r="E403" s="2">
        <f>C403*D403 / 100</f>
        <v>0</v>
      </c>
      <c r="F403">
        <f>IF(F402 &lt; 7, F402 +1,1)</f>
        <v>3</v>
      </c>
      <c r="G403" t="str">
        <f t="shared" si="6"/>
        <v/>
      </c>
    </row>
    <row r="404" spans="1:7">
      <c r="A404" s="1">
        <v>49043</v>
      </c>
      <c r="B404" t="s">
        <v>28</v>
      </c>
      <c r="C404">
        <v>17.100000000000001</v>
      </c>
      <c r="D404">
        <v>0.7</v>
      </c>
      <c r="E404" s="2">
        <f>C404*D404 / 100</f>
        <v>0.1197</v>
      </c>
      <c r="F404">
        <f>IF(F403 &lt; 7, F403 +1,1)</f>
        <v>4</v>
      </c>
      <c r="G404" t="str">
        <f t="shared" si="6"/>
        <v/>
      </c>
    </row>
    <row r="405" spans="1:7">
      <c r="A405" s="1">
        <v>49044</v>
      </c>
      <c r="B405" t="s">
        <v>11</v>
      </c>
      <c r="C405">
        <v>15.1</v>
      </c>
      <c r="D405">
        <v>0</v>
      </c>
      <c r="E405" s="2">
        <f>C405*D405 / 100</f>
        <v>0</v>
      </c>
      <c r="F405">
        <f>IF(F404 &lt; 7, F404 +1,1)</f>
        <v>5</v>
      </c>
      <c r="G405" t="str">
        <f t="shared" si="6"/>
        <v/>
      </c>
    </row>
    <row r="406" spans="1:7">
      <c r="A406" s="1">
        <v>49045</v>
      </c>
      <c r="B406" t="s">
        <v>29</v>
      </c>
      <c r="C406">
        <v>26.4</v>
      </c>
      <c r="D406">
        <v>1.9</v>
      </c>
      <c r="E406" s="2">
        <f>C406*D406 / 100</f>
        <v>0.50159999999999993</v>
      </c>
      <c r="F406">
        <f>IF(F405 &lt; 7, F405 +1,1)</f>
        <v>6</v>
      </c>
      <c r="G406" t="str">
        <f t="shared" si="6"/>
        <v/>
      </c>
    </row>
    <row r="407" spans="1:7">
      <c r="A407" s="1">
        <v>49046</v>
      </c>
      <c r="B407" t="s">
        <v>21</v>
      </c>
      <c r="C407">
        <v>11.6</v>
      </c>
      <c r="D407">
        <v>14.4</v>
      </c>
      <c r="E407" s="2">
        <f>C407*D407 / 100</f>
        <v>1.6703999999999999</v>
      </c>
      <c r="F407">
        <f>IF(F406 &lt; 7, F406 +1,1)</f>
        <v>7</v>
      </c>
      <c r="G407">
        <f t="shared" si="6"/>
        <v>125.6</v>
      </c>
    </row>
    <row r="408" spans="1:7">
      <c r="A408" s="1">
        <v>49047</v>
      </c>
      <c r="B408" t="s">
        <v>21</v>
      </c>
      <c r="C408">
        <v>16.600000000000001</v>
      </c>
      <c r="D408">
        <v>40.6</v>
      </c>
      <c r="E408" s="2">
        <f>C408*D408 / 100</f>
        <v>6.7396000000000003</v>
      </c>
      <c r="F408">
        <f>IF(F407 &lt; 7, F407 +1,1)</f>
        <v>1</v>
      </c>
      <c r="G408" t="str">
        <f t="shared" si="6"/>
        <v/>
      </c>
    </row>
    <row r="409" spans="1:7">
      <c r="A409" s="1">
        <v>49048</v>
      </c>
      <c r="B409" t="s">
        <v>36</v>
      </c>
      <c r="C409">
        <v>19.5</v>
      </c>
      <c r="D409">
        <v>24.9</v>
      </c>
      <c r="E409" s="2">
        <f>C409*D409 / 100</f>
        <v>4.8554999999999993</v>
      </c>
      <c r="F409">
        <f>IF(F408 &lt; 7, F408 +1,1)</f>
        <v>2</v>
      </c>
      <c r="G409" t="str">
        <f t="shared" si="6"/>
        <v/>
      </c>
    </row>
    <row r="410" spans="1:7">
      <c r="A410" s="1">
        <v>49049</v>
      </c>
      <c r="B410" t="s">
        <v>23</v>
      </c>
      <c r="C410">
        <v>24.9</v>
      </c>
      <c r="D410">
        <v>6.5</v>
      </c>
      <c r="E410" s="2">
        <f>C410*D410 / 100</f>
        <v>1.6185</v>
      </c>
      <c r="F410">
        <f>IF(F409 &lt; 7, F409 +1,1)</f>
        <v>3</v>
      </c>
      <c r="G410" t="str">
        <f t="shared" si="6"/>
        <v/>
      </c>
    </row>
    <row r="411" spans="1:7">
      <c r="A411" s="1">
        <v>49050</v>
      </c>
      <c r="B411" t="s">
        <v>6</v>
      </c>
      <c r="C411">
        <v>19.3</v>
      </c>
      <c r="D411">
        <v>0.8</v>
      </c>
      <c r="E411" s="2">
        <f>C411*D411 / 100</f>
        <v>0.15440000000000001</v>
      </c>
      <c r="F411">
        <f>IF(F410 &lt; 7, F410 +1,1)</f>
        <v>4</v>
      </c>
      <c r="G411" t="str">
        <f t="shared" si="6"/>
        <v/>
      </c>
    </row>
    <row r="412" spans="1:7">
      <c r="A412" s="1">
        <v>49051</v>
      </c>
      <c r="B412" t="s">
        <v>23</v>
      </c>
      <c r="C412">
        <v>26.2</v>
      </c>
      <c r="D412">
        <v>2.8</v>
      </c>
      <c r="E412" s="2">
        <f>C412*D412 / 100</f>
        <v>0.73360000000000003</v>
      </c>
      <c r="F412">
        <f>IF(F411 &lt; 7, F411 +1,1)</f>
        <v>5</v>
      </c>
      <c r="G412" t="str">
        <f t="shared" si="6"/>
        <v/>
      </c>
    </row>
    <row r="413" spans="1:7">
      <c r="A413" s="1">
        <v>49052</v>
      </c>
      <c r="B413" t="s">
        <v>16</v>
      </c>
      <c r="C413">
        <v>28.1</v>
      </c>
      <c r="D413">
        <v>0.6</v>
      </c>
      <c r="E413" s="2">
        <f>C413*D413 / 100</f>
        <v>0.1686</v>
      </c>
      <c r="F413">
        <f>IF(F412 &lt; 7, F412 +1,1)</f>
        <v>6</v>
      </c>
      <c r="G413" t="str">
        <f t="shared" si="6"/>
        <v/>
      </c>
    </row>
    <row r="414" spans="1:7">
      <c r="A414" s="1">
        <v>49053</v>
      </c>
      <c r="B414" t="s">
        <v>11</v>
      </c>
      <c r="C414">
        <v>17</v>
      </c>
      <c r="D414">
        <v>4.8</v>
      </c>
      <c r="E414" s="2">
        <f>C414*D414 / 100</f>
        <v>0.81599999999999995</v>
      </c>
      <c r="F414">
        <f>IF(F413 &lt; 7, F413 +1,1)</f>
        <v>7</v>
      </c>
      <c r="G414">
        <f t="shared" si="6"/>
        <v>151.6</v>
      </c>
    </row>
    <row r="415" spans="1:7">
      <c r="A415" s="1">
        <v>49054</v>
      </c>
      <c r="B415" t="s">
        <v>23</v>
      </c>
      <c r="C415">
        <v>28.5</v>
      </c>
      <c r="D415">
        <v>7.1</v>
      </c>
      <c r="E415" s="2">
        <f>C415*D415 / 100</f>
        <v>2.0234999999999999</v>
      </c>
      <c r="F415">
        <f>IF(F414 &lt; 7, F414 +1,1)</f>
        <v>1</v>
      </c>
      <c r="G415" t="str">
        <f t="shared" si="6"/>
        <v/>
      </c>
    </row>
    <row r="416" spans="1:7">
      <c r="A416" s="1">
        <v>49055</v>
      </c>
      <c r="B416" t="s">
        <v>10</v>
      </c>
      <c r="C416">
        <v>14.2</v>
      </c>
      <c r="D416">
        <v>2.1</v>
      </c>
      <c r="E416" s="2">
        <f>C416*D416 / 100</f>
        <v>0.29820000000000002</v>
      </c>
      <c r="F416">
        <f>IF(F415 &lt; 7, F415 +1,1)</f>
        <v>2</v>
      </c>
      <c r="G416" t="str">
        <f t="shared" si="6"/>
        <v/>
      </c>
    </row>
    <row r="417" spans="1:7">
      <c r="A417" s="1">
        <v>49056</v>
      </c>
      <c r="B417" t="s">
        <v>16</v>
      </c>
      <c r="C417">
        <v>24.9</v>
      </c>
      <c r="D417">
        <v>8.3000000000000007</v>
      </c>
      <c r="E417" s="2">
        <f>C417*D417 / 100</f>
        <v>2.0667</v>
      </c>
      <c r="F417">
        <f>IF(F416 &lt; 7, F416 +1,1)</f>
        <v>3</v>
      </c>
      <c r="G417" t="str">
        <f t="shared" si="6"/>
        <v/>
      </c>
    </row>
    <row r="418" spans="1:7">
      <c r="A418" s="1">
        <v>49057</v>
      </c>
      <c r="B418" t="s">
        <v>23</v>
      </c>
      <c r="C418">
        <v>19.100000000000001</v>
      </c>
      <c r="D418">
        <v>3.4</v>
      </c>
      <c r="E418" s="2">
        <f>C418*D418 / 100</f>
        <v>0.64939999999999998</v>
      </c>
      <c r="F418">
        <f>IF(F417 &lt; 7, F417 +1,1)</f>
        <v>4</v>
      </c>
      <c r="G418" t="str">
        <f t="shared" si="6"/>
        <v/>
      </c>
    </row>
    <row r="419" spans="1:7">
      <c r="A419" s="1">
        <v>49058</v>
      </c>
      <c r="B419" t="s">
        <v>21</v>
      </c>
      <c r="C419">
        <v>14.9</v>
      </c>
      <c r="D419">
        <v>23.1</v>
      </c>
      <c r="E419" s="2">
        <f>C419*D419 / 100</f>
        <v>3.4419000000000004</v>
      </c>
      <c r="F419">
        <f>IF(F418 &lt; 7, F418 +1,1)</f>
        <v>5</v>
      </c>
      <c r="G419" t="str">
        <f t="shared" si="6"/>
        <v/>
      </c>
    </row>
    <row r="420" spans="1:7">
      <c r="A420" s="1">
        <v>49059</v>
      </c>
      <c r="B420" t="s">
        <v>14</v>
      </c>
      <c r="C420">
        <v>16.899999999999999</v>
      </c>
      <c r="D420">
        <v>6.8</v>
      </c>
      <c r="E420" s="2">
        <f>C420*D420 / 100</f>
        <v>1.1491999999999998</v>
      </c>
      <c r="F420">
        <f>IF(F419 &lt; 7, F419 +1,1)</f>
        <v>6</v>
      </c>
      <c r="G420" t="str">
        <f t="shared" si="6"/>
        <v/>
      </c>
    </row>
    <row r="421" spans="1:7">
      <c r="A421" s="1">
        <v>49060</v>
      </c>
      <c r="B421" t="s">
        <v>34</v>
      </c>
      <c r="C421">
        <v>15.9</v>
      </c>
      <c r="D421">
        <v>6.8</v>
      </c>
      <c r="E421" s="2">
        <f>C421*D421 / 100</f>
        <v>1.0811999999999999</v>
      </c>
      <c r="F421">
        <f>IF(F420 &lt; 7, F420 +1,1)</f>
        <v>7</v>
      </c>
      <c r="G421">
        <f t="shared" si="6"/>
        <v>134.4</v>
      </c>
    </row>
    <row r="422" spans="1:7">
      <c r="A422" s="1">
        <v>49061</v>
      </c>
      <c r="B422" t="s">
        <v>25</v>
      </c>
      <c r="C422">
        <v>26.3</v>
      </c>
      <c r="D422">
        <v>0.7</v>
      </c>
      <c r="E422" s="2">
        <f>C422*D422 / 100</f>
        <v>0.18410000000000001</v>
      </c>
      <c r="F422">
        <f>IF(F421 &lt; 7, F421 +1,1)</f>
        <v>1</v>
      </c>
      <c r="G422" t="str">
        <f t="shared" si="6"/>
        <v/>
      </c>
    </row>
    <row r="423" spans="1:7">
      <c r="A423" s="1">
        <v>49062</v>
      </c>
      <c r="B423" t="s">
        <v>21</v>
      </c>
      <c r="C423">
        <v>12.2</v>
      </c>
      <c r="D423">
        <v>0</v>
      </c>
      <c r="E423" s="2">
        <f>C423*D423 / 100</f>
        <v>0</v>
      </c>
      <c r="F423">
        <f>IF(F422 &lt; 7, F422 +1,1)</f>
        <v>2</v>
      </c>
      <c r="G423" t="str">
        <f t="shared" si="6"/>
        <v/>
      </c>
    </row>
    <row r="424" spans="1:7">
      <c r="A424" s="1">
        <v>49063</v>
      </c>
      <c r="B424" t="s">
        <v>16</v>
      </c>
      <c r="C424">
        <v>27.5</v>
      </c>
      <c r="D424">
        <v>0</v>
      </c>
      <c r="E424" s="2">
        <f>C424*D424 / 100</f>
        <v>0</v>
      </c>
      <c r="F424">
        <f>IF(F423 &lt; 7, F423 +1,1)</f>
        <v>3</v>
      </c>
      <c r="G424" t="str">
        <f t="shared" si="6"/>
        <v/>
      </c>
    </row>
    <row r="425" spans="1:7">
      <c r="A425" s="1">
        <v>49064</v>
      </c>
      <c r="B425" t="s">
        <v>28</v>
      </c>
      <c r="C425">
        <v>23</v>
      </c>
      <c r="D425">
        <v>0</v>
      </c>
      <c r="E425" s="2">
        <f>C425*D425 / 100</f>
        <v>0</v>
      </c>
      <c r="F425">
        <f>IF(F424 &lt; 7, F424 +1,1)</f>
        <v>4</v>
      </c>
      <c r="G425" t="str">
        <f t="shared" si="6"/>
        <v/>
      </c>
    </row>
    <row r="426" spans="1:7">
      <c r="A426" s="1">
        <v>49065</v>
      </c>
      <c r="B426" t="s">
        <v>36</v>
      </c>
      <c r="C426">
        <v>17.899999999999999</v>
      </c>
      <c r="D426">
        <v>36.799999999999997</v>
      </c>
      <c r="E426" s="2">
        <f>C426*D426 / 100</f>
        <v>6.5871999999999993</v>
      </c>
      <c r="F426">
        <f>IF(F425 &lt; 7, F425 +1,1)</f>
        <v>5</v>
      </c>
      <c r="G426" t="str">
        <f t="shared" si="6"/>
        <v/>
      </c>
    </row>
    <row r="427" spans="1:7">
      <c r="A427" s="1">
        <v>49066</v>
      </c>
      <c r="B427" t="s">
        <v>36</v>
      </c>
      <c r="C427">
        <v>27.3</v>
      </c>
      <c r="D427">
        <v>0</v>
      </c>
      <c r="E427" s="2">
        <f>C427*D427 / 100</f>
        <v>0</v>
      </c>
      <c r="F427">
        <f>IF(F426 &lt; 7, F426 +1,1)</f>
        <v>6</v>
      </c>
      <c r="G427" t="str">
        <f t="shared" si="6"/>
        <v/>
      </c>
    </row>
    <row r="428" spans="1:7">
      <c r="A428" s="1">
        <v>49067</v>
      </c>
      <c r="B428" t="s">
        <v>15</v>
      </c>
      <c r="C428">
        <v>19.3</v>
      </c>
      <c r="D428">
        <v>0.4</v>
      </c>
      <c r="E428" s="2">
        <f>C428*D428 / 100</f>
        <v>7.7200000000000005E-2</v>
      </c>
      <c r="F428">
        <f>IF(F427 &lt; 7, F427 +1,1)</f>
        <v>7</v>
      </c>
      <c r="G428">
        <f t="shared" si="6"/>
        <v>153.50000000000003</v>
      </c>
    </row>
    <row r="429" spans="1:7">
      <c r="A429" s="1">
        <v>49068</v>
      </c>
      <c r="B429" t="s">
        <v>11</v>
      </c>
      <c r="C429">
        <v>25.5</v>
      </c>
      <c r="D429">
        <v>0</v>
      </c>
      <c r="E429" s="2">
        <f>C429*D429 / 100</f>
        <v>0</v>
      </c>
      <c r="F429">
        <f>IF(F428 &lt; 7, F428 +1,1)</f>
        <v>1</v>
      </c>
      <c r="G429" t="str">
        <f t="shared" si="6"/>
        <v/>
      </c>
    </row>
    <row r="430" spans="1:7">
      <c r="A430" s="1">
        <v>49069</v>
      </c>
      <c r="B430" t="s">
        <v>30</v>
      </c>
      <c r="C430">
        <v>13.7</v>
      </c>
      <c r="D430">
        <v>11.7</v>
      </c>
      <c r="E430" s="2">
        <f>C430*D430 / 100</f>
        <v>1.6029</v>
      </c>
      <c r="F430">
        <f>IF(F429 &lt; 7, F429 +1,1)</f>
        <v>2</v>
      </c>
      <c r="G430" t="str">
        <f t="shared" si="6"/>
        <v/>
      </c>
    </row>
    <row r="431" spans="1:7">
      <c r="A431" s="1">
        <v>49070</v>
      </c>
      <c r="B431" t="s">
        <v>36</v>
      </c>
      <c r="C431">
        <v>18.399999999999999</v>
      </c>
      <c r="D431">
        <v>0</v>
      </c>
      <c r="E431" s="2">
        <f>C431*D431 / 100</f>
        <v>0</v>
      </c>
      <c r="F431">
        <f>IF(F430 &lt; 7, F430 +1,1)</f>
        <v>3</v>
      </c>
      <c r="G431" t="str">
        <f t="shared" si="6"/>
        <v/>
      </c>
    </row>
    <row r="432" spans="1:7">
      <c r="A432" s="1">
        <v>49071</v>
      </c>
      <c r="B432" t="s">
        <v>29</v>
      </c>
      <c r="C432">
        <v>11.1</v>
      </c>
      <c r="D432">
        <v>0</v>
      </c>
      <c r="E432" s="2">
        <f>C432*D432 / 100</f>
        <v>0</v>
      </c>
      <c r="F432">
        <f>IF(F431 &lt; 7, F431 +1,1)</f>
        <v>4</v>
      </c>
      <c r="G432" t="str">
        <f t="shared" si="6"/>
        <v/>
      </c>
    </row>
    <row r="433" spans="1:7">
      <c r="A433" s="1">
        <v>49072</v>
      </c>
      <c r="B433" t="s">
        <v>34</v>
      </c>
      <c r="C433">
        <v>28</v>
      </c>
      <c r="D433">
        <v>0</v>
      </c>
      <c r="E433" s="2">
        <f>C433*D433 / 100</f>
        <v>0</v>
      </c>
      <c r="F433">
        <f>IF(F432 &lt; 7, F432 +1,1)</f>
        <v>5</v>
      </c>
      <c r="G433" t="str">
        <f t="shared" si="6"/>
        <v/>
      </c>
    </row>
    <row r="434" spans="1:7">
      <c r="A434" s="1">
        <v>49073</v>
      </c>
      <c r="B434" t="s">
        <v>30</v>
      </c>
      <c r="C434">
        <v>16.2</v>
      </c>
      <c r="D434">
        <v>13.7</v>
      </c>
      <c r="E434" s="2">
        <f>C434*D434 / 100</f>
        <v>2.2193999999999998</v>
      </c>
      <c r="F434">
        <f>IF(F433 &lt; 7, F433 +1,1)</f>
        <v>6</v>
      </c>
      <c r="G434" t="str">
        <f t="shared" si="6"/>
        <v/>
      </c>
    </row>
    <row r="435" spans="1:7">
      <c r="A435" s="1">
        <v>49074</v>
      </c>
      <c r="B435" t="s">
        <v>36</v>
      </c>
      <c r="C435">
        <v>12.1</v>
      </c>
      <c r="D435">
        <v>37.200000000000003</v>
      </c>
      <c r="E435" s="2">
        <f>C435*D435 / 100</f>
        <v>4.5011999999999999</v>
      </c>
      <c r="F435">
        <f>IF(F434 &lt; 7, F434 +1,1)</f>
        <v>7</v>
      </c>
      <c r="G435">
        <f t="shared" si="6"/>
        <v>125</v>
      </c>
    </row>
    <row r="436" spans="1:7">
      <c r="A436" s="1">
        <v>49075</v>
      </c>
      <c r="B436" t="s">
        <v>18</v>
      </c>
      <c r="C436">
        <v>21.4</v>
      </c>
      <c r="D436">
        <v>3.1</v>
      </c>
      <c r="E436" s="2">
        <f>C436*D436 / 100</f>
        <v>0.66339999999999999</v>
      </c>
      <c r="F436">
        <f>IF(F435 &lt; 7, F435 +1,1)</f>
        <v>1</v>
      </c>
      <c r="G436" t="str">
        <f t="shared" si="6"/>
        <v/>
      </c>
    </row>
    <row r="437" spans="1:7">
      <c r="A437" s="1">
        <v>49076</v>
      </c>
      <c r="B437" t="s">
        <v>21</v>
      </c>
      <c r="C437">
        <v>11.2</v>
      </c>
      <c r="D437">
        <v>0</v>
      </c>
      <c r="E437" s="2">
        <f>C437*D437 / 100</f>
        <v>0</v>
      </c>
      <c r="F437">
        <f>IF(F436 &lt; 7, F436 +1,1)</f>
        <v>2</v>
      </c>
      <c r="G437" t="str">
        <f t="shared" si="6"/>
        <v/>
      </c>
    </row>
    <row r="438" spans="1:7">
      <c r="A438" s="1">
        <v>49077</v>
      </c>
      <c r="B438" t="s">
        <v>5</v>
      </c>
      <c r="C438">
        <v>18.399999999999999</v>
      </c>
      <c r="D438">
        <v>0.2</v>
      </c>
      <c r="E438" s="2">
        <f>C438*D438 / 100</f>
        <v>3.6799999999999999E-2</v>
      </c>
      <c r="F438">
        <f>IF(F437 &lt; 7, F437 +1,1)</f>
        <v>3</v>
      </c>
      <c r="G438" t="str">
        <f t="shared" si="6"/>
        <v/>
      </c>
    </row>
    <row r="439" spans="1:7">
      <c r="A439" s="1">
        <v>49078</v>
      </c>
      <c r="B439" t="s">
        <v>34</v>
      </c>
      <c r="C439">
        <v>13.7</v>
      </c>
      <c r="D439">
        <v>0</v>
      </c>
      <c r="E439" s="2">
        <f>C439*D439 / 100</f>
        <v>0</v>
      </c>
      <c r="F439">
        <f>IF(F438 &lt; 7, F438 +1,1)</f>
        <v>4</v>
      </c>
      <c r="G439" t="str">
        <f t="shared" si="6"/>
        <v/>
      </c>
    </row>
    <row r="440" spans="1:7">
      <c r="A440" s="1">
        <v>49079</v>
      </c>
      <c r="B440" t="s">
        <v>36</v>
      </c>
      <c r="C440">
        <v>10.4</v>
      </c>
      <c r="D440">
        <v>15.6</v>
      </c>
      <c r="E440" s="2">
        <f>C440*D440 / 100</f>
        <v>1.6224000000000001</v>
      </c>
      <c r="F440">
        <f>IF(F439 &lt; 7, F439 +1,1)</f>
        <v>5</v>
      </c>
      <c r="G440" t="str">
        <f t="shared" si="6"/>
        <v/>
      </c>
    </row>
    <row r="441" spans="1:7">
      <c r="A441" s="1">
        <v>49080</v>
      </c>
      <c r="B441" t="s">
        <v>20</v>
      </c>
      <c r="C441">
        <v>21.8</v>
      </c>
      <c r="D441">
        <v>0</v>
      </c>
      <c r="E441" s="2">
        <f>C441*D441 / 100</f>
        <v>0</v>
      </c>
      <c r="F441">
        <f>IF(F440 &lt; 7, F440 +1,1)</f>
        <v>6</v>
      </c>
      <c r="G441" t="str">
        <f t="shared" si="6"/>
        <v/>
      </c>
    </row>
    <row r="442" spans="1:7">
      <c r="A442" s="1">
        <v>49081</v>
      </c>
      <c r="B442" t="s">
        <v>16</v>
      </c>
      <c r="C442">
        <v>11</v>
      </c>
      <c r="D442">
        <v>0.4</v>
      </c>
      <c r="E442" s="2">
        <f>C442*D442 / 100</f>
        <v>4.4000000000000004E-2</v>
      </c>
      <c r="F442">
        <f>IF(F441 &lt; 7, F441 +1,1)</f>
        <v>7</v>
      </c>
      <c r="G442">
        <f t="shared" si="6"/>
        <v>107.89999999999999</v>
      </c>
    </row>
    <row r="443" spans="1:7">
      <c r="A443" s="1">
        <v>49082</v>
      </c>
      <c r="B443" t="s">
        <v>21</v>
      </c>
      <c r="C443">
        <v>19</v>
      </c>
      <c r="D443">
        <v>21.9</v>
      </c>
      <c r="E443" s="2">
        <f>C443*D443 / 100</f>
        <v>4.1609999999999996</v>
      </c>
      <c r="F443">
        <f>IF(F442 &lt; 7, F442 +1,1)</f>
        <v>1</v>
      </c>
      <c r="G443" t="str">
        <f t="shared" si="6"/>
        <v/>
      </c>
    </row>
    <row r="444" spans="1:7">
      <c r="A444" s="1">
        <v>49083</v>
      </c>
      <c r="B444" t="s">
        <v>21</v>
      </c>
      <c r="C444">
        <v>12.5</v>
      </c>
      <c r="D444">
        <v>0</v>
      </c>
      <c r="E444" s="2">
        <f>C444*D444 / 100</f>
        <v>0</v>
      </c>
      <c r="F444">
        <f>IF(F443 &lt; 7, F443 +1,1)</f>
        <v>2</v>
      </c>
      <c r="G444" t="str">
        <f t="shared" si="6"/>
        <v/>
      </c>
    </row>
    <row r="445" spans="1:7">
      <c r="A445" s="1">
        <v>49084</v>
      </c>
      <c r="B445" t="s">
        <v>33</v>
      </c>
      <c r="C445">
        <v>13.6</v>
      </c>
      <c r="D445">
        <v>12.6</v>
      </c>
      <c r="E445" s="2">
        <f>C445*D445 / 100</f>
        <v>1.7135999999999998</v>
      </c>
      <c r="F445">
        <f>IF(F444 &lt; 7, F444 +1,1)</f>
        <v>3</v>
      </c>
      <c r="G445" t="str">
        <f t="shared" si="6"/>
        <v/>
      </c>
    </row>
    <row r="446" spans="1:7">
      <c r="A446" s="1">
        <v>49085</v>
      </c>
      <c r="B446" t="s">
        <v>21</v>
      </c>
      <c r="C446">
        <v>20.2</v>
      </c>
      <c r="D446">
        <v>17.899999999999999</v>
      </c>
      <c r="E446" s="2">
        <f>C446*D446 / 100</f>
        <v>3.6157999999999997</v>
      </c>
      <c r="F446">
        <f>IF(F445 &lt; 7, F445 +1,1)</f>
        <v>4</v>
      </c>
      <c r="G446" t="str">
        <f t="shared" si="6"/>
        <v/>
      </c>
    </row>
    <row r="447" spans="1:7">
      <c r="A447" s="1">
        <v>49086</v>
      </c>
      <c r="B447" t="s">
        <v>21</v>
      </c>
      <c r="C447">
        <v>28.7</v>
      </c>
      <c r="D447">
        <v>0</v>
      </c>
      <c r="E447" s="2">
        <f>C447*D447 / 100</f>
        <v>0</v>
      </c>
      <c r="F447">
        <f>IF(F446 &lt; 7, F446 +1,1)</f>
        <v>5</v>
      </c>
      <c r="G447" t="str">
        <f t="shared" si="6"/>
        <v/>
      </c>
    </row>
    <row r="448" spans="1:7">
      <c r="A448" s="1">
        <v>49087</v>
      </c>
      <c r="B448" t="s">
        <v>18</v>
      </c>
      <c r="C448">
        <v>13.4</v>
      </c>
      <c r="D448">
        <v>4.8</v>
      </c>
      <c r="E448" s="2">
        <f>C448*D448 / 100</f>
        <v>0.64319999999999988</v>
      </c>
      <c r="F448">
        <f>IF(F447 &lt; 7, F447 +1,1)</f>
        <v>6</v>
      </c>
      <c r="G448" t="str">
        <f t="shared" si="6"/>
        <v/>
      </c>
    </row>
    <row r="449" spans="1:7">
      <c r="A449" s="1">
        <v>49088</v>
      </c>
      <c r="B449" t="s">
        <v>33</v>
      </c>
      <c r="C449">
        <v>12</v>
      </c>
      <c r="D449">
        <v>8.9</v>
      </c>
      <c r="E449" s="2">
        <f>C449*D449 / 100</f>
        <v>1.0680000000000001</v>
      </c>
      <c r="F449">
        <f>IF(F448 &lt; 7, F448 +1,1)</f>
        <v>7</v>
      </c>
      <c r="G449">
        <f t="shared" si="6"/>
        <v>119.4</v>
      </c>
    </row>
    <row r="450" spans="1:7">
      <c r="A450" s="1">
        <v>49089</v>
      </c>
      <c r="B450" t="s">
        <v>9</v>
      </c>
      <c r="C450">
        <v>28.9</v>
      </c>
      <c r="D450">
        <v>13.9</v>
      </c>
      <c r="E450" s="2">
        <f>C450*D450 / 100</f>
        <v>4.0171000000000001</v>
      </c>
      <c r="F450">
        <f>IF(F449 &lt; 7, F449 +1,1)</f>
        <v>1</v>
      </c>
      <c r="G450" t="str">
        <f t="shared" si="6"/>
        <v/>
      </c>
    </row>
    <row r="451" spans="1:7">
      <c r="A451" s="1">
        <v>49090</v>
      </c>
      <c r="B451" t="s">
        <v>24</v>
      </c>
      <c r="C451">
        <v>25.2</v>
      </c>
      <c r="D451">
        <v>0</v>
      </c>
      <c r="E451" s="2">
        <f>C451*D451 / 100</f>
        <v>0</v>
      </c>
      <c r="F451">
        <f>IF(F450 &lt; 7, F450 +1,1)</f>
        <v>2</v>
      </c>
      <c r="G451" t="str">
        <f t="shared" si="6"/>
        <v/>
      </c>
    </row>
    <row r="452" spans="1:7">
      <c r="A452" s="1">
        <v>49091</v>
      </c>
      <c r="B452" t="s">
        <v>9</v>
      </c>
      <c r="C452">
        <v>18.600000000000001</v>
      </c>
      <c r="D452">
        <v>1.8</v>
      </c>
      <c r="E452" s="2">
        <f>C452*D452 / 100</f>
        <v>0.33480000000000004</v>
      </c>
      <c r="F452">
        <f>IF(F451 &lt; 7, F451 +1,1)</f>
        <v>3</v>
      </c>
      <c r="G452" t="str">
        <f t="shared" si="6"/>
        <v/>
      </c>
    </row>
    <row r="453" spans="1:7">
      <c r="A453" s="1">
        <v>49092</v>
      </c>
      <c r="B453" t="s">
        <v>12</v>
      </c>
      <c r="C453">
        <v>20</v>
      </c>
      <c r="D453">
        <v>2.4</v>
      </c>
      <c r="E453" s="2">
        <f>C453*D453 / 100</f>
        <v>0.48</v>
      </c>
      <c r="F453">
        <f>IF(F452 &lt; 7, F452 +1,1)</f>
        <v>4</v>
      </c>
      <c r="G453" t="str">
        <f t="shared" si="6"/>
        <v/>
      </c>
    </row>
    <row r="454" spans="1:7">
      <c r="A454" s="1">
        <v>49093</v>
      </c>
      <c r="B454" t="s">
        <v>26</v>
      </c>
      <c r="C454">
        <v>14.3</v>
      </c>
      <c r="D454">
        <v>3.9</v>
      </c>
      <c r="E454" s="2">
        <f>C454*D454 / 100</f>
        <v>0.55770000000000008</v>
      </c>
      <c r="F454">
        <f>IF(F453 &lt; 7, F453 +1,1)</f>
        <v>5</v>
      </c>
      <c r="G454" t="str">
        <f t="shared" si="6"/>
        <v/>
      </c>
    </row>
    <row r="455" spans="1:7">
      <c r="A455" s="1">
        <v>49094</v>
      </c>
      <c r="B455" t="s">
        <v>21</v>
      </c>
      <c r="C455">
        <v>28.8</v>
      </c>
      <c r="D455">
        <v>25.1</v>
      </c>
      <c r="E455" s="2">
        <f>C455*D455 / 100</f>
        <v>7.2288000000000014</v>
      </c>
      <c r="F455">
        <f>IF(F454 &lt; 7, F454 +1,1)</f>
        <v>6</v>
      </c>
      <c r="G455" t="str">
        <f t="shared" si="6"/>
        <v/>
      </c>
    </row>
    <row r="456" spans="1:7">
      <c r="A456" s="1">
        <v>49095</v>
      </c>
      <c r="B456" t="s">
        <v>36</v>
      </c>
      <c r="C456">
        <v>26.8</v>
      </c>
      <c r="D456">
        <v>10.8</v>
      </c>
      <c r="E456" s="2">
        <f>C456*D456 / 100</f>
        <v>2.8944000000000005</v>
      </c>
      <c r="F456">
        <f>IF(F455 &lt; 7, F455 +1,1)</f>
        <v>7</v>
      </c>
      <c r="G456">
        <f t="shared" si="6"/>
        <v>162.6</v>
      </c>
    </row>
    <row r="457" spans="1:7">
      <c r="A457" s="1">
        <v>49096</v>
      </c>
      <c r="B457" t="s">
        <v>36</v>
      </c>
      <c r="C457">
        <v>20.399999999999999</v>
      </c>
      <c r="D457">
        <v>0</v>
      </c>
      <c r="E457" s="2">
        <f>C457*D457 / 100</f>
        <v>0</v>
      </c>
      <c r="F457">
        <f>IF(F456 &lt; 7, F456 +1,1)</f>
        <v>1</v>
      </c>
      <c r="G457" t="str">
        <f t="shared" ref="G457:G520" si="7">IF(F457=7, SUM(C451:C457), "")</f>
        <v/>
      </c>
    </row>
    <row r="458" spans="1:7">
      <c r="A458" s="1">
        <v>49097</v>
      </c>
      <c r="B458" t="s">
        <v>24</v>
      </c>
      <c r="C458">
        <v>14.1</v>
      </c>
      <c r="D458">
        <v>4.5</v>
      </c>
      <c r="E458" s="2">
        <f>C458*D458 / 100</f>
        <v>0.63449999999999995</v>
      </c>
      <c r="F458">
        <f>IF(F457 &lt; 7, F457 +1,1)</f>
        <v>2</v>
      </c>
      <c r="G458" t="str">
        <f t="shared" si="7"/>
        <v/>
      </c>
    </row>
    <row r="459" spans="1:7">
      <c r="A459" s="1">
        <v>49098</v>
      </c>
      <c r="B459" t="s">
        <v>11</v>
      </c>
      <c r="C459">
        <v>28.1</v>
      </c>
      <c r="D459">
        <v>6.3</v>
      </c>
      <c r="E459" s="2">
        <f>C459*D459 / 100</f>
        <v>1.7703</v>
      </c>
      <c r="F459">
        <f>IF(F458 &lt; 7, F458 +1,1)</f>
        <v>3</v>
      </c>
      <c r="G459" t="str">
        <f t="shared" si="7"/>
        <v/>
      </c>
    </row>
    <row r="460" spans="1:7">
      <c r="A460" s="1">
        <v>49099</v>
      </c>
      <c r="B460" t="s">
        <v>19</v>
      </c>
      <c r="C460">
        <v>15.7</v>
      </c>
      <c r="D460">
        <v>11.5</v>
      </c>
      <c r="E460" s="2">
        <f>C460*D460 / 100</f>
        <v>1.8054999999999999</v>
      </c>
      <c r="F460">
        <f>IF(F459 &lt; 7, F459 +1,1)</f>
        <v>4</v>
      </c>
      <c r="G460" t="str">
        <f t="shared" si="7"/>
        <v/>
      </c>
    </row>
    <row r="461" spans="1:7">
      <c r="A461" s="1">
        <v>49100</v>
      </c>
      <c r="B461" t="s">
        <v>25</v>
      </c>
      <c r="C461">
        <v>27.7</v>
      </c>
      <c r="D461">
        <v>0.6</v>
      </c>
      <c r="E461" s="2">
        <f>C461*D461 / 100</f>
        <v>0.16619999999999999</v>
      </c>
      <c r="F461">
        <f>IF(F460 &lt; 7, F460 +1,1)</f>
        <v>5</v>
      </c>
      <c r="G461" t="str">
        <f t="shared" si="7"/>
        <v/>
      </c>
    </row>
    <row r="462" spans="1:7">
      <c r="A462" s="1">
        <v>49101</v>
      </c>
      <c r="B462" t="s">
        <v>16</v>
      </c>
      <c r="C462">
        <v>22.9</v>
      </c>
      <c r="D462">
        <v>22.6</v>
      </c>
      <c r="E462" s="2">
        <f>C462*D462 / 100</f>
        <v>5.1753999999999998</v>
      </c>
      <c r="F462">
        <f>IF(F461 &lt; 7, F461 +1,1)</f>
        <v>6</v>
      </c>
      <c r="G462" t="str">
        <f t="shared" si="7"/>
        <v/>
      </c>
    </row>
    <row r="463" spans="1:7">
      <c r="A463" s="1">
        <v>49102</v>
      </c>
      <c r="B463" t="s">
        <v>19</v>
      </c>
      <c r="C463">
        <v>10.3</v>
      </c>
      <c r="D463">
        <v>0</v>
      </c>
      <c r="E463" s="2">
        <f>C463*D463 / 100</f>
        <v>0</v>
      </c>
      <c r="F463">
        <f>IF(F462 &lt; 7, F462 +1,1)</f>
        <v>7</v>
      </c>
      <c r="G463">
        <f t="shared" si="7"/>
        <v>139.20000000000002</v>
      </c>
    </row>
    <row r="464" spans="1:7">
      <c r="A464" s="1">
        <v>49103</v>
      </c>
      <c r="B464" t="s">
        <v>6</v>
      </c>
      <c r="C464">
        <v>28.4</v>
      </c>
      <c r="D464">
        <v>4</v>
      </c>
      <c r="E464" s="2">
        <f>C464*D464 / 100</f>
        <v>1.1359999999999999</v>
      </c>
      <c r="F464">
        <f>IF(F463 &lt; 7, F463 +1,1)</f>
        <v>1</v>
      </c>
      <c r="G464" t="str">
        <f t="shared" si="7"/>
        <v/>
      </c>
    </row>
    <row r="465" spans="1:7">
      <c r="A465" s="1">
        <v>49104</v>
      </c>
      <c r="B465" t="s">
        <v>29</v>
      </c>
      <c r="C465">
        <v>18.7</v>
      </c>
      <c r="D465">
        <v>15</v>
      </c>
      <c r="E465" s="2">
        <f>C465*D465 / 100</f>
        <v>2.8050000000000002</v>
      </c>
      <c r="F465">
        <f>IF(F464 &lt; 7, F464 +1,1)</f>
        <v>2</v>
      </c>
      <c r="G465" t="str">
        <f t="shared" si="7"/>
        <v/>
      </c>
    </row>
    <row r="466" spans="1:7">
      <c r="A466" s="1">
        <v>49105</v>
      </c>
      <c r="B466" t="s">
        <v>36</v>
      </c>
      <c r="C466">
        <v>13.7</v>
      </c>
      <c r="D466">
        <v>9.4</v>
      </c>
      <c r="E466" s="2">
        <f>C466*D466 / 100</f>
        <v>1.2878000000000001</v>
      </c>
      <c r="F466">
        <f>IF(F465 &lt; 7, F465 +1,1)</f>
        <v>3</v>
      </c>
      <c r="G466" t="str">
        <f t="shared" si="7"/>
        <v/>
      </c>
    </row>
    <row r="467" spans="1:7">
      <c r="A467" s="1">
        <v>49106</v>
      </c>
      <c r="B467" t="s">
        <v>11</v>
      </c>
      <c r="C467">
        <v>16.3</v>
      </c>
      <c r="D467">
        <v>3.6</v>
      </c>
      <c r="E467" s="2">
        <f>C467*D467 / 100</f>
        <v>0.5868000000000001</v>
      </c>
      <c r="F467">
        <f>IF(F466 &lt; 7, F466 +1,1)</f>
        <v>4</v>
      </c>
      <c r="G467" t="str">
        <f t="shared" si="7"/>
        <v/>
      </c>
    </row>
    <row r="468" spans="1:7">
      <c r="A468" s="1">
        <v>49107</v>
      </c>
      <c r="B468" t="s">
        <v>14</v>
      </c>
      <c r="C468">
        <v>14</v>
      </c>
      <c r="D468">
        <v>0</v>
      </c>
      <c r="E468" s="2">
        <f>C468*D468 / 100</f>
        <v>0</v>
      </c>
      <c r="F468">
        <f>IF(F467 &lt; 7, F467 +1,1)</f>
        <v>5</v>
      </c>
      <c r="G468" t="str">
        <f t="shared" si="7"/>
        <v/>
      </c>
    </row>
    <row r="469" spans="1:7">
      <c r="A469" s="1">
        <v>49108</v>
      </c>
      <c r="B469" t="s">
        <v>33</v>
      </c>
      <c r="C469">
        <v>26</v>
      </c>
      <c r="D469">
        <v>5.5</v>
      </c>
      <c r="E469" s="2">
        <f>C469*D469 / 100</f>
        <v>1.43</v>
      </c>
      <c r="F469">
        <f>IF(F468 &lt; 7, F468 +1,1)</f>
        <v>6</v>
      </c>
      <c r="G469" t="str">
        <f t="shared" si="7"/>
        <v/>
      </c>
    </row>
    <row r="470" spans="1:7">
      <c r="A470" s="1">
        <v>49109</v>
      </c>
      <c r="B470" t="s">
        <v>36</v>
      </c>
      <c r="C470">
        <v>27</v>
      </c>
      <c r="D470">
        <v>38.6</v>
      </c>
      <c r="E470" s="2">
        <f>C470*D470 / 100</f>
        <v>10.422000000000001</v>
      </c>
      <c r="F470">
        <f>IF(F469 &lt; 7, F469 +1,1)</f>
        <v>7</v>
      </c>
      <c r="G470">
        <f t="shared" si="7"/>
        <v>144.1</v>
      </c>
    </row>
    <row r="471" spans="1:7">
      <c r="A471" s="1">
        <v>49110</v>
      </c>
      <c r="B471" t="s">
        <v>21</v>
      </c>
      <c r="C471">
        <v>26.6</v>
      </c>
      <c r="D471">
        <v>49.7</v>
      </c>
      <c r="E471" s="2">
        <f>C471*D471 / 100</f>
        <v>13.220200000000002</v>
      </c>
      <c r="F471">
        <f>IF(F470 &lt; 7, F470 +1,1)</f>
        <v>1</v>
      </c>
      <c r="G471" t="str">
        <f t="shared" si="7"/>
        <v/>
      </c>
    </row>
    <row r="472" spans="1:7">
      <c r="A472" s="1">
        <v>49111</v>
      </c>
      <c r="B472" t="s">
        <v>36</v>
      </c>
      <c r="C472">
        <v>20.9</v>
      </c>
      <c r="D472">
        <v>30</v>
      </c>
      <c r="E472" s="2">
        <f>C472*D472 / 100</f>
        <v>6.27</v>
      </c>
      <c r="F472">
        <f>IF(F471 &lt; 7, F471 +1,1)</f>
        <v>2</v>
      </c>
      <c r="G472" t="str">
        <f t="shared" si="7"/>
        <v/>
      </c>
    </row>
    <row r="473" spans="1:7">
      <c r="A473" s="1">
        <v>49112</v>
      </c>
      <c r="B473" t="s">
        <v>24</v>
      </c>
      <c r="C473">
        <v>28.5</v>
      </c>
      <c r="D473">
        <v>5.3</v>
      </c>
      <c r="E473" s="2">
        <f>C473*D473 / 100</f>
        <v>1.5104999999999997</v>
      </c>
      <c r="F473">
        <f>IF(F472 &lt; 7, F472 +1,1)</f>
        <v>3</v>
      </c>
      <c r="G473" t="str">
        <f t="shared" si="7"/>
        <v/>
      </c>
    </row>
    <row r="474" spans="1:7">
      <c r="A474" s="1">
        <v>49113</v>
      </c>
      <c r="B474" t="s">
        <v>10</v>
      </c>
      <c r="C474">
        <v>10.4</v>
      </c>
      <c r="D474">
        <v>0</v>
      </c>
      <c r="E474" s="2">
        <f>C474*D474 / 100</f>
        <v>0</v>
      </c>
      <c r="F474">
        <f>IF(F473 &lt; 7, F473 +1,1)</f>
        <v>4</v>
      </c>
      <c r="G474" t="str">
        <f t="shared" si="7"/>
        <v/>
      </c>
    </row>
    <row r="475" spans="1:7">
      <c r="A475" s="1">
        <v>49114</v>
      </c>
      <c r="B475" t="s">
        <v>29</v>
      </c>
      <c r="C475">
        <v>25.9</v>
      </c>
      <c r="D475">
        <v>9.1999999999999993</v>
      </c>
      <c r="E475" s="2">
        <f>C475*D475 / 100</f>
        <v>2.3827999999999996</v>
      </c>
      <c r="F475">
        <f>IF(F474 &lt; 7, F474 +1,1)</f>
        <v>5</v>
      </c>
      <c r="G475" t="str">
        <f t="shared" si="7"/>
        <v/>
      </c>
    </row>
    <row r="476" spans="1:7">
      <c r="A476" s="1">
        <v>49115</v>
      </c>
      <c r="B476" t="s">
        <v>9</v>
      </c>
      <c r="C476">
        <v>24.6</v>
      </c>
      <c r="D476">
        <v>11</v>
      </c>
      <c r="E476" s="2">
        <f>C476*D476 / 100</f>
        <v>2.7060000000000004</v>
      </c>
      <c r="F476">
        <f>IF(F475 &lt; 7, F475 +1,1)</f>
        <v>6</v>
      </c>
      <c r="G476" t="str">
        <f t="shared" si="7"/>
        <v/>
      </c>
    </row>
    <row r="477" spans="1:7">
      <c r="A477" s="1">
        <v>49116</v>
      </c>
      <c r="B477" t="s">
        <v>31</v>
      </c>
      <c r="C477">
        <v>22</v>
      </c>
      <c r="D477">
        <v>0</v>
      </c>
      <c r="E477" s="2">
        <f>C477*D477 / 100</f>
        <v>0</v>
      </c>
      <c r="F477">
        <f>IF(F476 &lt; 7, F476 +1,1)</f>
        <v>7</v>
      </c>
      <c r="G477">
        <f t="shared" si="7"/>
        <v>158.9</v>
      </c>
    </row>
    <row r="478" spans="1:7">
      <c r="A478" s="1">
        <v>49117</v>
      </c>
      <c r="B478" t="s">
        <v>22</v>
      </c>
      <c r="C478">
        <v>16.8</v>
      </c>
      <c r="D478">
        <v>2.4</v>
      </c>
      <c r="E478" s="2">
        <f>C478*D478 / 100</f>
        <v>0.4032</v>
      </c>
      <c r="F478">
        <f>IF(F477 &lt; 7, F477 +1,1)</f>
        <v>1</v>
      </c>
      <c r="G478" t="str">
        <f t="shared" si="7"/>
        <v/>
      </c>
    </row>
    <row r="479" spans="1:7">
      <c r="A479" s="1">
        <v>49118</v>
      </c>
      <c r="B479" t="s">
        <v>21</v>
      </c>
      <c r="C479">
        <v>21.7</v>
      </c>
      <c r="D479">
        <v>44.1</v>
      </c>
      <c r="E479" s="2">
        <f>C479*D479 / 100</f>
        <v>9.569700000000001</v>
      </c>
      <c r="F479">
        <f>IF(F478 &lt; 7, F478 +1,1)</f>
        <v>2</v>
      </c>
      <c r="G479" t="str">
        <f t="shared" si="7"/>
        <v/>
      </c>
    </row>
    <row r="480" spans="1:7">
      <c r="A480" s="1">
        <v>49119</v>
      </c>
      <c r="B480" t="s">
        <v>34</v>
      </c>
      <c r="C480">
        <v>28.9</v>
      </c>
      <c r="D480">
        <v>0</v>
      </c>
      <c r="E480" s="2">
        <f>C480*D480 / 100</f>
        <v>0</v>
      </c>
      <c r="F480">
        <f>IF(F479 &lt; 7, F479 +1,1)</f>
        <v>3</v>
      </c>
      <c r="G480" t="str">
        <f t="shared" si="7"/>
        <v/>
      </c>
    </row>
    <row r="481" spans="1:7">
      <c r="A481" s="1">
        <v>49120</v>
      </c>
      <c r="B481" t="s">
        <v>19</v>
      </c>
      <c r="C481">
        <v>26.6</v>
      </c>
      <c r="D481">
        <v>0.4</v>
      </c>
      <c r="E481" s="2">
        <f>C481*D481 / 100</f>
        <v>0.10640000000000001</v>
      </c>
      <c r="F481">
        <f>IF(F480 &lt; 7, F480 +1,1)</f>
        <v>4</v>
      </c>
      <c r="G481" t="str">
        <f t="shared" si="7"/>
        <v/>
      </c>
    </row>
    <row r="482" spans="1:7">
      <c r="A482" s="1">
        <v>49121</v>
      </c>
      <c r="B482" t="s">
        <v>33</v>
      </c>
      <c r="C482">
        <v>28</v>
      </c>
      <c r="D482">
        <v>16.7</v>
      </c>
      <c r="E482" s="2">
        <f>C482*D482 / 100</f>
        <v>4.6759999999999993</v>
      </c>
      <c r="F482">
        <f>IF(F481 &lt; 7, F481 +1,1)</f>
        <v>5</v>
      </c>
      <c r="G482" t="str">
        <f t="shared" si="7"/>
        <v/>
      </c>
    </row>
    <row r="483" spans="1:7">
      <c r="A483" s="1">
        <v>49122</v>
      </c>
      <c r="B483" t="s">
        <v>23</v>
      </c>
      <c r="C483">
        <v>27.5</v>
      </c>
      <c r="D483">
        <v>0</v>
      </c>
      <c r="E483" s="2">
        <f>C483*D483 / 100</f>
        <v>0</v>
      </c>
      <c r="F483">
        <f>IF(F482 &lt; 7, F482 +1,1)</f>
        <v>6</v>
      </c>
      <c r="G483" t="str">
        <f t="shared" si="7"/>
        <v/>
      </c>
    </row>
    <row r="484" spans="1:7">
      <c r="A484" s="1">
        <v>49123</v>
      </c>
      <c r="B484" t="s">
        <v>24</v>
      </c>
      <c r="C484">
        <v>18.2</v>
      </c>
      <c r="D484">
        <v>0</v>
      </c>
      <c r="E484" s="2">
        <f>C484*D484 / 100</f>
        <v>0</v>
      </c>
      <c r="F484">
        <f>IF(F483 &lt; 7, F483 +1,1)</f>
        <v>7</v>
      </c>
      <c r="G484">
        <f t="shared" si="7"/>
        <v>167.7</v>
      </c>
    </row>
    <row r="485" spans="1:7">
      <c r="A485" s="1">
        <v>49124</v>
      </c>
      <c r="B485" t="s">
        <v>29</v>
      </c>
      <c r="C485">
        <v>25.1</v>
      </c>
      <c r="D485">
        <v>0</v>
      </c>
      <c r="E485" s="2">
        <f>C485*D485 / 100</f>
        <v>0</v>
      </c>
      <c r="F485">
        <f>IF(F484 &lt; 7, F484 +1,1)</f>
        <v>1</v>
      </c>
      <c r="G485" t="str">
        <f t="shared" si="7"/>
        <v/>
      </c>
    </row>
    <row r="486" spans="1:7">
      <c r="A486" s="1">
        <v>49125</v>
      </c>
      <c r="B486" t="s">
        <v>15</v>
      </c>
      <c r="C486">
        <v>10.1</v>
      </c>
      <c r="D486">
        <v>0.2</v>
      </c>
      <c r="E486" s="2">
        <f>C486*D486 / 100</f>
        <v>2.0199999999999999E-2</v>
      </c>
      <c r="F486">
        <f>IF(F485 &lt; 7, F485 +1,1)</f>
        <v>2</v>
      </c>
      <c r="G486" t="str">
        <f t="shared" si="7"/>
        <v/>
      </c>
    </row>
    <row r="487" spans="1:7">
      <c r="A487" s="1">
        <v>49126</v>
      </c>
      <c r="B487" t="s">
        <v>33</v>
      </c>
      <c r="C487">
        <v>13.1</v>
      </c>
      <c r="D487">
        <v>7.9</v>
      </c>
      <c r="E487" s="2">
        <f>C487*D487 / 100</f>
        <v>1.0348999999999999</v>
      </c>
      <c r="F487">
        <f>IF(F486 &lt; 7, F486 +1,1)</f>
        <v>3</v>
      </c>
      <c r="G487" t="str">
        <f t="shared" si="7"/>
        <v/>
      </c>
    </row>
    <row r="488" spans="1:7">
      <c r="A488" s="1">
        <v>49127</v>
      </c>
      <c r="B488" t="s">
        <v>26</v>
      </c>
      <c r="C488">
        <v>22.9</v>
      </c>
      <c r="D488">
        <v>0</v>
      </c>
      <c r="E488" s="2">
        <f>C488*D488 / 100</f>
        <v>0</v>
      </c>
      <c r="F488">
        <f>IF(F487 &lt; 7, F487 +1,1)</f>
        <v>4</v>
      </c>
      <c r="G488" t="str">
        <f t="shared" si="7"/>
        <v/>
      </c>
    </row>
    <row r="489" spans="1:7">
      <c r="A489" s="1">
        <v>49128</v>
      </c>
      <c r="B489" t="s">
        <v>26</v>
      </c>
      <c r="C489">
        <v>26.3</v>
      </c>
      <c r="D489">
        <v>4</v>
      </c>
      <c r="E489" s="2">
        <f>C489*D489 / 100</f>
        <v>1.052</v>
      </c>
      <c r="F489">
        <f>IF(F488 &lt; 7, F488 +1,1)</f>
        <v>5</v>
      </c>
      <c r="G489" t="str">
        <f t="shared" si="7"/>
        <v/>
      </c>
    </row>
    <row r="490" spans="1:7">
      <c r="A490" s="1">
        <v>49129</v>
      </c>
      <c r="B490" t="s">
        <v>36</v>
      </c>
      <c r="C490">
        <v>11.3</v>
      </c>
      <c r="D490">
        <v>19.8</v>
      </c>
      <c r="E490" s="2">
        <f>C490*D490 / 100</f>
        <v>2.2374000000000001</v>
      </c>
      <c r="F490">
        <f>IF(F489 &lt; 7, F489 +1,1)</f>
        <v>6</v>
      </c>
      <c r="G490" t="str">
        <f t="shared" si="7"/>
        <v/>
      </c>
    </row>
    <row r="491" spans="1:7">
      <c r="A491" s="1">
        <v>49130</v>
      </c>
      <c r="B491" t="s">
        <v>21</v>
      </c>
      <c r="C491">
        <v>30</v>
      </c>
      <c r="D491">
        <v>0</v>
      </c>
      <c r="E491" s="2">
        <f>C491*D491 / 100</f>
        <v>0</v>
      </c>
      <c r="F491">
        <f>IF(F490 &lt; 7, F490 +1,1)</f>
        <v>7</v>
      </c>
      <c r="G491">
        <f t="shared" si="7"/>
        <v>138.80000000000001</v>
      </c>
    </row>
    <row r="492" spans="1:7">
      <c r="A492" s="1">
        <v>49131</v>
      </c>
      <c r="B492" t="s">
        <v>24</v>
      </c>
      <c r="C492">
        <v>20.399999999999999</v>
      </c>
      <c r="D492">
        <v>0</v>
      </c>
      <c r="E492" s="2">
        <f>C492*D492 / 100</f>
        <v>0</v>
      </c>
      <c r="F492">
        <f>IF(F491 &lt; 7, F491 +1,1)</f>
        <v>1</v>
      </c>
      <c r="G492" t="str">
        <f t="shared" si="7"/>
        <v/>
      </c>
    </row>
    <row r="493" spans="1:7">
      <c r="A493" s="1">
        <v>49132</v>
      </c>
      <c r="B493" t="s">
        <v>16</v>
      </c>
      <c r="C493">
        <v>24.5</v>
      </c>
      <c r="D493">
        <v>8.6999999999999993</v>
      </c>
      <c r="E493" s="2">
        <f>C493*D493 / 100</f>
        <v>2.1315</v>
      </c>
      <c r="F493">
        <f>IF(F492 &lt; 7, F492 +1,1)</f>
        <v>2</v>
      </c>
      <c r="G493" t="str">
        <f t="shared" si="7"/>
        <v/>
      </c>
    </row>
    <row r="494" spans="1:7">
      <c r="A494" s="1">
        <v>49133</v>
      </c>
      <c r="B494" t="s">
        <v>9</v>
      </c>
      <c r="C494">
        <v>17</v>
      </c>
      <c r="D494">
        <v>2.7</v>
      </c>
      <c r="E494" s="2">
        <f>C494*D494 / 100</f>
        <v>0.45900000000000007</v>
      </c>
      <c r="F494">
        <f>IF(F493 &lt; 7, F493 +1,1)</f>
        <v>3</v>
      </c>
      <c r="G494" t="str">
        <f t="shared" si="7"/>
        <v/>
      </c>
    </row>
    <row r="495" spans="1:7">
      <c r="A495" s="1">
        <v>49134</v>
      </c>
      <c r="B495" t="s">
        <v>36</v>
      </c>
      <c r="C495">
        <v>21</v>
      </c>
      <c r="D495">
        <v>5.6</v>
      </c>
      <c r="E495" s="2">
        <f>C495*D495 / 100</f>
        <v>1.1759999999999999</v>
      </c>
      <c r="F495">
        <f>IF(F494 &lt; 7, F494 +1,1)</f>
        <v>4</v>
      </c>
      <c r="G495" t="str">
        <f t="shared" si="7"/>
        <v/>
      </c>
    </row>
    <row r="496" spans="1:7">
      <c r="A496" s="1">
        <v>49135</v>
      </c>
      <c r="B496" t="s">
        <v>36</v>
      </c>
      <c r="C496">
        <v>20.7</v>
      </c>
      <c r="D496">
        <v>0</v>
      </c>
      <c r="E496" s="2">
        <f>C496*D496 / 100</f>
        <v>0</v>
      </c>
      <c r="F496">
        <f>IF(F495 &lt; 7, F495 +1,1)</f>
        <v>5</v>
      </c>
      <c r="G496" t="str">
        <f t="shared" si="7"/>
        <v/>
      </c>
    </row>
    <row r="497" spans="1:7">
      <c r="A497" s="1">
        <v>49136</v>
      </c>
      <c r="B497" t="s">
        <v>34</v>
      </c>
      <c r="C497">
        <v>26.7</v>
      </c>
      <c r="D497">
        <v>9.8000000000000007</v>
      </c>
      <c r="E497" s="2">
        <f>C497*D497 / 100</f>
        <v>2.6166</v>
      </c>
      <c r="F497">
        <f>IF(F496 &lt; 7, F496 +1,1)</f>
        <v>6</v>
      </c>
      <c r="G497" t="str">
        <f t="shared" si="7"/>
        <v/>
      </c>
    </row>
    <row r="498" spans="1:7">
      <c r="A498" s="1">
        <v>49137</v>
      </c>
      <c r="B498" t="s">
        <v>17</v>
      </c>
      <c r="C498">
        <v>10.199999999999999</v>
      </c>
      <c r="D498">
        <v>0.1</v>
      </c>
      <c r="E498" s="2">
        <f>C498*D498 / 100</f>
        <v>1.0200000000000001E-2</v>
      </c>
      <c r="F498">
        <f>IF(F497 &lt; 7, F497 +1,1)</f>
        <v>7</v>
      </c>
      <c r="G498">
        <f t="shared" si="7"/>
        <v>140.5</v>
      </c>
    </row>
    <row r="499" spans="1:7">
      <c r="A499" s="1">
        <v>49138</v>
      </c>
      <c r="B499" t="s">
        <v>21</v>
      </c>
      <c r="C499">
        <v>15.7</v>
      </c>
      <c r="D499">
        <v>5.8</v>
      </c>
      <c r="E499" s="2">
        <f>C499*D499 / 100</f>
        <v>0.91059999999999985</v>
      </c>
      <c r="F499">
        <f>IF(F498 &lt; 7, F498 +1,1)</f>
        <v>1</v>
      </c>
      <c r="G499" t="str">
        <f t="shared" si="7"/>
        <v/>
      </c>
    </row>
    <row r="500" spans="1:7">
      <c r="A500" s="1">
        <v>49139</v>
      </c>
      <c r="B500" t="s">
        <v>32</v>
      </c>
      <c r="C500">
        <v>15.9</v>
      </c>
      <c r="D500">
        <v>2.2000000000000002</v>
      </c>
      <c r="E500" s="2">
        <f>C500*D500 / 100</f>
        <v>0.34980000000000006</v>
      </c>
      <c r="F500">
        <f>IF(F499 &lt; 7, F499 +1,1)</f>
        <v>2</v>
      </c>
      <c r="G500" t="str">
        <f t="shared" si="7"/>
        <v/>
      </c>
    </row>
    <row r="501" spans="1:7">
      <c r="A501" s="1">
        <v>49140</v>
      </c>
      <c r="B501" t="s">
        <v>36</v>
      </c>
      <c r="C501">
        <v>21</v>
      </c>
      <c r="D501">
        <v>13.1</v>
      </c>
      <c r="E501" s="2">
        <f>C501*D501 / 100</f>
        <v>2.7509999999999994</v>
      </c>
      <c r="F501">
        <f>IF(F500 &lt; 7, F500 +1,1)</f>
        <v>3</v>
      </c>
      <c r="G501" t="str">
        <f t="shared" si="7"/>
        <v/>
      </c>
    </row>
    <row r="502" spans="1:7">
      <c r="A502" s="1">
        <v>49141</v>
      </c>
      <c r="B502" t="s">
        <v>26</v>
      </c>
      <c r="C502">
        <v>10.9</v>
      </c>
      <c r="D502">
        <v>8.1</v>
      </c>
      <c r="E502" s="2">
        <f>C502*D502 / 100</f>
        <v>0.88289999999999991</v>
      </c>
      <c r="F502">
        <f>IF(F501 &lt; 7, F501 +1,1)</f>
        <v>4</v>
      </c>
      <c r="G502" t="str">
        <f t="shared" si="7"/>
        <v/>
      </c>
    </row>
    <row r="503" spans="1:7">
      <c r="A503" s="1">
        <v>49142</v>
      </c>
      <c r="B503" t="s">
        <v>24</v>
      </c>
      <c r="C503">
        <v>20.9</v>
      </c>
      <c r="D503">
        <v>5.9</v>
      </c>
      <c r="E503" s="2">
        <f>C503*D503 / 100</f>
        <v>1.2331000000000001</v>
      </c>
      <c r="F503">
        <f>IF(F502 &lt; 7, F502 +1,1)</f>
        <v>5</v>
      </c>
      <c r="G503" t="str">
        <f t="shared" si="7"/>
        <v/>
      </c>
    </row>
    <row r="504" spans="1:7">
      <c r="A504" s="1">
        <v>49143</v>
      </c>
      <c r="B504" t="s">
        <v>36</v>
      </c>
      <c r="C504">
        <v>21.8</v>
      </c>
      <c r="D504">
        <v>15.9</v>
      </c>
      <c r="E504" s="2">
        <f>C504*D504 / 100</f>
        <v>3.4662000000000002</v>
      </c>
      <c r="F504">
        <f>IF(F503 &lt; 7, F503 +1,1)</f>
        <v>6</v>
      </c>
      <c r="G504" t="str">
        <f t="shared" si="7"/>
        <v/>
      </c>
    </row>
    <row r="505" spans="1:7">
      <c r="A505" s="1">
        <v>49144</v>
      </c>
      <c r="B505" t="s">
        <v>33</v>
      </c>
      <c r="C505">
        <v>11.9</v>
      </c>
      <c r="D505">
        <v>18.100000000000001</v>
      </c>
      <c r="E505" s="2">
        <f>C505*D505 / 100</f>
        <v>2.1539000000000001</v>
      </c>
      <c r="F505">
        <f>IF(F504 &lt; 7, F504 +1,1)</f>
        <v>7</v>
      </c>
      <c r="G505">
        <f t="shared" si="7"/>
        <v>118.10000000000001</v>
      </c>
    </row>
    <row r="506" spans="1:7">
      <c r="A506" s="1">
        <v>49145</v>
      </c>
      <c r="B506" t="s">
        <v>19</v>
      </c>
      <c r="C506">
        <v>12.9</v>
      </c>
      <c r="D506">
        <v>0</v>
      </c>
      <c r="E506" s="2">
        <f>C506*D506 / 100</f>
        <v>0</v>
      </c>
      <c r="F506">
        <f>IF(F505 &lt; 7, F505 +1,1)</f>
        <v>1</v>
      </c>
      <c r="G506" t="str">
        <f t="shared" si="7"/>
        <v/>
      </c>
    </row>
    <row r="507" spans="1:7">
      <c r="A507" s="1">
        <v>49146</v>
      </c>
      <c r="B507" t="s">
        <v>36</v>
      </c>
      <c r="C507">
        <v>14.9</v>
      </c>
      <c r="D507">
        <v>4.8</v>
      </c>
      <c r="E507" s="2">
        <f>C507*D507 / 100</f>
        <v>0.71519999999999995</v>
      </c>
      <c r="F507">
        <f>IF(F506 &lt; 7, F506 +1,1)</f>
        <v>2</v>
      </c>
      <c r="G507" t="str">
        <f t="shared" si="7"/>
        <v/>
      </c>
    </row>
    <row r="508" spans="1:7">
      <c r="A508" s="1">
        <v>49147</v>
      </c>
      <c r="B508" t="s">
        <v>21</v>
      </c>
      <c r="C508">
        <v>29.5</v>
      </c>
      <c r="D508">
        <v>0</v>
      </c>
      <c r="E508" s="2">
        <f>C508*D508 / 100</f>
        <v>0</v>
      </c>
      <c r="F508">
        <f>IF(F507 &lt; 7, F507 +1,1)</f>
        <v>3</v>
      </c>
      <c r="G508" t="str">
        <f t="shared" si="7"/>
        <v/>
      </c>
    </row>
    <row r="509" spans="1:7">
      <c r="A509" s="1">
        <v>49148</v>
      </c>
      <c r="B509" t="s">
        <v>36</v>
      </c>
      <c r="C509">
        <v>18.100000000000001</v>
      </c>
      <c r="D509">
        <v>0</v>
      </c>
      <c r="E509" s="2">
        <f>C509*D509 / 100</f>
        <v>0</v>
      </c>
      <c r="F509">
        <f>IF(F508 &lt; 7, F508 +1,1)</f>
        <v>4</v>
      </c>
      <c r="G509" t="str">
        <f t="shared" si="7"/>
        <v/>
      </c>
    </row>
    <row r="510" spans="1:7">
      <c r="A510" s="1">
        <v>49149</v>
      </c>
      <c r="B510" t="s">
        <v>30</v>
      </c>
      <c r="C510">
        <v>10.8</v>
      </c>
      <c r="D510">
        <v>11.8</v>
      </c>
      <c r="E510" s="2">
        <f>C510*D510 / 100</f>
        <v>1.2744000000000002</v>
      </c>
      <c r="F510">
        <f>IF(F509 &lt; 7, F509 +1,1)</f>
        <v>5</v>
      </c>
      <c r="G510" t="str">
        <f t="shared" si="7"/>
        <v/>
      </c>
    </row>
    <row r="511" spans="1:7">
      <c r="A511" s="1">
        <v>49150</v>
      </c>
      <c r="B511" t="s">
        <v>26</v>
      </c>
      <c r="C511">
        <v>13.5</v>
      </c>
      <c r="D511">
        <v>5.4</v>
      </c>
      <c r="E511" s="2">
        <f>C511*D511 / 100</f>
        <v>0.72900000000000009</v>
      </c>
      <c r="F511">
        <f>IF(F510 &lt; 7, F510 +1,1)</f>
        <v>6</v>
      </c>
      <c r="G511" t="str">
        <f t="shared" si="7"/>
        <v/>
      </c>
    </row>
    <row r="512" spans="1:7">
      <c r="A512" s="1">
        <v>49151</v>
      </c>
      <c r="B512" t="s">
        <v>24</v>
      </c>
      <c r="C512">
        <v>15.9</v>
      </c>
      <c r="D512">
        <v>0</v>
      </c>
      <c r="E512" s="2">
        <f>C512*D512 / 100</f>
        <v>0</v>
      </c>
      <c r="F512">
        <f>IF(F511 &lt; 7, F511 +1,1)</f>
        <v>7</v>
      </c>
      <c r="G512">
        <f t="shared" si="7"/>
        <v>115.60000000000001</v>
      </c>
    </row>
    <row r="513" spans="1:7">
      <c r="A513" s="1">
        <v>49152</v>
      </c>
      <c r="B513" t="s">
        <v>12</v>
      </c>
      <c r="C513">
        <v>23.1</v>
      </c>
      <c r="D513">
        <v>0</v>
      </c>
      <c r="E513" s="2">
        <f>C513*D513 / 100</f>
        <v>0</v>
      </c>
      <c r="F513">
        <f>IF(F512 &lt; 7, F512 +1,1)</f>
        <v>1</v>
      </c>
      <c r="G513" t="str">
        <f t="shared" si="7"/>
        <v/>
      </c>
    </row>
    <row r="514" spans="1:7">
      <c r="A514" s="1">
        <v>49153</v>
      </c>
      <c r="B514" t="s">
        <v>31</v>
      </c>
      <c r="C514">
        <v>26.7</v>
      </c>
      <c r="D514">
        <v>0</v>
      </c>
      <c r="E514" s="2">
        <f>C514*D514 / 100</f>
        <v>0</v>
      </c>
      <c r="F514">
        <f>IF(F513 &lt; 7, F513 +1,1)</f>
        <v>2</v>
      </c>
      <c r="G514" t="str">
        <f t="shared" si="7"/>
        <v/>
      </c>
    </row>
    <row r="515" spans="1:7">
      <c r="A515" s="1">
        <v>49154</v>
      </c>
      <c r="B515" t="s">
        <v>21</v>
      </c>
      <c r="C515">
        <v>26</v>
      </c>
      <c r="D515">
        <v>29.1</v>
      </c>
      <c r="E515" s="2">
        <f>C515*D515 / 100</f>
        <v>7.5659999999999998</v>
      </c>
      <c r="F515">
        <f>IF(F514 &lt; 7, F514 +1,1)</f>
        <v>3</v>
      </c>
      <c r="G515" t="str">
        <f t="shared" si="7"/>
        <v/>
      </c>
    </row>
    <row r="516" spans="1:7">
      <c r="A516" s="1">
        <v>49155</v>
      </c>
      <c r="B516" t="s">
        <v>29</v>
      </c>
      <c r="C516">
        <v>23.6</v>
      </c>
      <c r="D516">
        <v>9.1</v>
      </c>
      <c r="E516" s="2">
        <f>C516*D516 / 100</f>
        <v>2.1475999999999997</v>
      </c>
      <c r="F516">
        <f>IF(F515 &lt; 7, F515 +1,1)</f>
        <v>4</v>
      </c>
      <c r="G516" t="str">
        <f t="shared" si="7"/>
        <v/>
      </c>
    </row>
    <row r="517" spans="1:7">
      <c r="A517" s="1">
        <v>49156</v>
      </c>
      <c r="B517" t="s">
        <v>12</v>
      </c>
      <c r="C517">
        <v>29.8</v>
      </c>
      <c r="D517">
        <v>5.7</v>
      </c>
      <c r="E517" s="2">
        <f>C517*D517 / 100</f>
        <v>1.6986000000000001</v>
      </c>
      <c r="F517">
        <f>IF(F516 &lt; 7, F516 +1,1)</f>
        <v>5</v>
      </c>
      <c r="G517" t="str">
        <f t="shared" si="7"/>
        <v/>
      </c>
    </row>
    <row r="518" spans="1:7">
      <c r="A518" s="1">
        <v>49157</v>
      </c>
      <c r="B518" t="s">
        <v>36</v>
      </c>
      <c r="C518">
        <v>18.600000000000001</v>
      </c>
      <c r="D518">
        <v>0</v>
      </c>
      <c r="E518" s="2">
        <f>C518*D518 / 100</f>
        <v>0</v>
      </c>
      <c r="F518">
        <f>IF(F517 &lt; 7, F517 +1,1)</f>
        <v>6</v>
      </c>
      <c r="G518" t="str">
        <f t="shared" si="7"/>
        <v/>
      </c>
    </row>
    <row r="519" spans="1:7">
      <c r="A519" s="1">
        <v>49158</v>
      </c>
      <c r="B519" t="s">
        <v>33</v>
      </c>
      <c r="C519">
        <v>17.600000000000001</v>
      </c>
      <c r="D519">
        <v>2.4</v>
      </c>
      <c r="E519" s="2">
        <f>C519*D519 / 100</f>
        <v>0.4224</v>
      </c>
      <c r="F519">
        <f>IF(F518 &lt; 7, F518 +1,1)</f>
        <v>7</v>
      </c>
      <c r="G519">
        <f t="shared" si="7"/>
        <v>165.4</v>
      </c>
    </row>
    <row r="520" spans="1:7">
      <c r="A520" s="1">
        <v>49159</v>
      </c>
      <c r="B520" t="s">
        <v>33</v>
      </c>
      <c r="C520">
        <v>12.6</v>
      </c>
      <c r="D520">
        <v>9.1999999999999993</v>
      </c>
      <c r="E520" s="2">
        <f>C520*D520 / 100</f>
        <v>1.1591999999999998</v>
      </c>
      <c r="F520">
        <f>IF(F519 &lt; 7, F519 +1,1)</f>
        <v>1</v>
      </c>
      <c r="G520" t="str">
        <f t="shared" si="7"/>
        <v/>
      </c>
    </row>
    <row r="521" spans="1:7">
      <c r="A521" s="1">
        <v>49160</v>
      </c>
      <c r="B521" t="s">
        <v>23</v>
      </c>
      <c r="C521">
        <v>25.4</v>
      </c>
      <c r="D521">
        <v>5.4</v>
      </c>
      <c r="E521" s="2">
        <f>C521*D521 / 100</f>
        <v>1.3715999999999999</v>
      </c>
      <c r="F521">
        <f>IF(F520 &lt; 7, F520 +1,1)</f>
        <v>2</v>
      </c>
      <c r="G521" t="str">
        <f t="shared" ref="G521:G584" si="8">IF(F521=7, SUM(C515:C521), "")</f>
        <v/>
      </c>
    </row>
    <row r="522" spans="1:7">
      <c r="A522" s="1">
        <v>49161</v>
      </c>
      <c r="B522" t="s">
        <v>18</v>
      </c>
      <c r="C522">
        <v>12.8</v>
      </c>
      <c r="D522">
        <v>3.6</v>
      </c>
      <c r="E522" s="2">
        <f>C522*D522 / 100</f>
        <v>0.46080000000000004</v>
      </c>
      <c r="F522">
        <f>IF(F521 &lt; 7, F521 +1,1)</f>
        <v>3</v>
      </c>
      <c r="G522" t="str">
        <f t="shared" si="8"/>
        <v/>
      </c>
    </row>
    <row r="523" spans="1:7">
      <c r="A523" s="1">
        <v>49162</v>
      </c>
      <c r="B523" t="s">
        <v>9</v>
      </c>
      <c r="C523">
        <v>18.7</v>
      </c>
      <c r="D523">
        <v>0</v>
      </c>
      <c r="E523" s="2">
        <f>C523*D523 / 100</f>
        <v>0</v>
      </c>
      <c r="F523">
        <f>IF(F522 &lt; 7, F522 +1,1)</f>
        <v>4</v>
      </c>
      <c r="G523" t="str">
        <f t="shared" si="8"/>
        <v/>
      </c>
    </row>
    <row r="524" spans="1:7">
      <c r="A524" s="1">
        <v>49163</v>
      </c>
      <c r="B524" t="s">
        <v>32</v>
      </c>
      <c r="C524">
        <v>22.3</v>
      </c>
      <c r="D524">
        <v>0</v>
      </c>
      <c r="E524" s="2">
        <f>C524*D524 / 100</f>
        <v>0</v>
      </c>
      <c r="F524">
        <f>IF(F523 &lt; 7, F523 +1,1)</f>
        <v>5</v>
      </c>
      <c r="G524" t="str">
        <f t="shared" si="8"/>
        <v/>
      </c>
    </row>
    <row r="525" spans="1:7">
      <c r="A525" s="1">
        <v>49164</v>
      </c>
      <c r="B525" t="s">
        <v>29</v>
      </c>
      <c r="C525">
        <v>26.4</v>
      </c>
      <c r="D525">
        <v>0.5</v>
      </c>
      <c r="E525" s="2">
        <f>C525*D525 / 100</f>
        <v>0.13200000000000001</v>
      </c>
      <c r="F525">
        <f>IF(F524 &lt; 7, F524 +1,1)</f>
        <v>6</v>
      </c>
      <c r="G525" t="str">
        <f t="shared" si="8"/>
        <v/>
      </c>
    </row>
    <row r="526" spans="1:7">
      <c r="A526" s="1">
        <v>49165</v>
      </c>
      <c r="B526" t="s">
        <v>16</v>
      </c>
      <c r="C526">
        <v>28.5</v>
      </c>
      <c r="D526">
        <v>3.2</v>
      </c>
      <c r="E526" s="2">
        <f>C526*D526 / 100</f>
        <v>0.91200000000000003</v>
      </c>
      <c r="F526">
        <f>IF(F525 &lt; 7, F525 +1,1)</f>
        <v>7</v>
      </c>
      <c r="G526">
        <f t="shared" si="8"/>
        <v>146.69999999999999</v>
      </c>
    </row>
    <row r="527" spans="1:7">
      <c r="A527" s="1">
        <v>49166</v>
      </c>
      <c r="B527" t="s">
        <v>23</v>
      </c>
      <c r="C527">
        <v>16.8</v>
      </c>
      <c r="D527">
        <v>5.5</v>
      </c>
      <c r="E527" s="2">
        <f>C527*D527 / 100</f>
        <v>0.92400000000000004</v>
      </c>
      <c r="F527">
        <f>IF(F526 &lt; 7, F526 +1,1)</f>
        <v>1</v>
      </c>
      <c r="G527" t="str">
        <f t="shared" si="8"/>
        <v/>
      </c>
    </row>
    <row r="528" spans="1:7">
      <c r="A528" s="1">
        <v>49167</v>
      </c>
      <c r="B528" t="s">
        <v>14</v>
      </c>
      <c r="C528">
        <v>24.7</v>
      </c>
      <c r="D528">
        <v>0.8</v>
      </c>
      <c r="E528" s="2">
        <f>C528*D528 / 100</f>
        <v>0.19760000000000003</v>
      </c>
      <c r="F528">
        <f>IF(F527 &lt; 7, F527 +1,1)</f>
        <v>2</v>
      </c>
      <c r="G528" t="str">
        <f t="shared" si="8"/>
        <v/>
      </c>
    </row>
    <row r="529" spans="1:7">
      <c r="A529" s="1">
        <v>49168</v>
      </c>
      <c r="B529" t="s">
        <v>26</v>
      </c>
      <c r="C529">
        <v>29.6</v>
      </c>
      <c r="D529">
        <v>0</v>
      </c>
      <c r="E529" s="2">
        <f>C529*D529 / 100</f>
        <v>0</v>
      </c>
      <c r="F529">
        <f>IF(F528 &lt; 7, F528 +1,1)</f>
        <v>3</v>
      </c>
      <c r="G529" t="str">
        <f t="shared" si="8"/>
        <v/>
      </c>
    </row>
    <row r="530" spans="1:7">
      <c r="A530" s="1">
        <v>49169</v>
      </c>
      <c r="B530" t="s">
        <v>21</v>
      </c>
      <c r="C530">
        <v>23.3</v>
      </c>
      <c r="D530">
        <v>29.4</v>
      </c>
      <c r="E530" s="2">
        <f>C530*D530 / 100</f>
        <v>6.8502000000000001</v>
      </c>
      <c r="F530">
        <f>IF(F529 &lt; 7, F529 +1,1)</f>
        <v>4</v>
      </c>
      <c r="G530" t="str">
        <f t="shared" si="8"/>
        <v/>
      </c>
    </row>
    <row r="531" spans="1:7">
      <c r="A531" s="1">
        <v>49170</v>
      </c>
      <c r="B531" t="s">
        <v>26</v>
      </c>
      <c r="C531">
        <v>28.8</v>
      </c>
      <c r="D531">
        <v>11.5</v>
      </c>
      <c r="E531" s="2">
        <f>C531*D531 / 100</f>
        <v>3.3119999999999998</v>
      </c>
      <c r="F531">
        <f>IF(F530 &lt; 7, F530 +1,1)</f>
        <v>5</v>
      </c>
      <c r="G531" t="str">
        <f t="shared" si="8"/>
        <v/>
      </c>
    </row>
    <row r="532" spans="1:7">
      <c r="A532" s="1">
        <v>49171</v>
      </c>
      <c r="B532" t="s">
        <v>26</v>
      </c>
      <c r="C532">
        <v>26.5</v>
      </c>
      <c r="D532">
        <v>0</v>
      </c>
      <c r="E532" s="2">
        <f>C532*D532 / 100</f>
        <v>0</v>
      </c>
      <c r="F532">
        <f>IF(F531 &lt; 7, F531 +1,1)</f>
        <v>6</v>
      </c>
      <c r="G532" t="str">
        <f t="shared" si="8"/>
        <v/>
      </c>
    </row>
    <row r="533" spans="1:7">
      <c r="A533" s="1">
        <v>49172</v>
      </c>
      <c r="B533" t="s">
        <v>6</v>
      </c>
      <c r="C533">
        <v>17.100000000000001</v>
      </c>
      <c r="D533">
        <v>3.6</v>
      </c>
      <c r="E533" s="2">
        <f>C533*D533 / 100</f>
        <v>0.61560000000000015</v>
      </c>
      <c r="F533">
        <f>IF(F532 &lt; 7, F532 +1,1)</f>
        <v>7</v>
      </c>
      <c r="G533">
        <f t="shared" si="8"/>
        <v>166.79999999999998</v>
      </c>
    </row>
    <row r="534" spans="1:7">
      <c r="A534" s="1">
        <v>49173</v>
      </c>
      <c r="B534" t="s">
        <v>26</v>
      </c>
      <c r="C534">
        <v>17.8</v>
      </c>
      <c r="D534">
        <v>7</v>
      </c>
      <c r="E534" s="2">
        <f>C534*D534 / 100</f>
        <v>1.246</v>
      </c>
      <c r="F534">
        <f>IF(F533 &lt; 7, F533 +1,1)</f>
        <v>1</v>
      </c>
      <c r="G534" t="str">
        <f t="shared" si="8"/>
        <v/>
      </c>
    </row>
    <row r="535" spans="1:7">
      <c r="A535" s="1">
        <v>49174</v>
      </c>
      <c r="B535" t="s">
        <v>14</v>
      </c>
      <c r="C535">
        <v>24.7</v>
      </c>
      <c r="D535">
        <v>1.5</v>
      </c>
      <c r="E535" s="2">
        <f>C535*D535 / 100</f>
        <v>0.3705</v>
      </c>
      <c r="F535">
        <f>IF(F534 &lt; 7, F534 +1,1)</f>
        <v>2</v>
      </c>
      <c r="G535" t="str">
        <f t="shared" si="8"/>
        <v/>
      </c>
    </row>
    <row r="536" spans="1:7">
      <c r="A536" s="1">
        <v>49175</v>
      </c>
      <c r="B536" t="s">
        <v>36</v>
      </c>
      <c r="C536">
        <v>25.1</v>
      </c>
      <c r="D536">
        <v>0</v>
      </c>
      <c r="E536" s="2">
        <f>C536*D536 / 100</f>
        <v>0</v>
      </c>
      <c r="F536">
        <f>IF(F535 &lt; 7, F535 +1,1)</f>
        <v>3</v>
      </c>
      <c r="G536" t="str">
        <f t="shared" si="8"/>
        <v/>
      </c>
    </row>
    <row r="537" spans="1:7">
      <c r="A537" s="1">
        <v>49176</v>
      </c>
      <c r="B537" t="s">
        <v>27</v>
      </c>
      <c r="C537">
        <v>27</v>
      </c>
      <c r="D537">
        <v>0</v>
      </c>
      <c r="E537" s="2">
        <f>C537*D537 / 100</f>
        <v>0</v>
      </c>
      <c r="F537">
        <f>IF(F536 &lt; 7, F536 +1,1)</f>
        <v>4</v>
      </c>
      <c r="G537" t="str">
        <f t="shared" si="8"/>
        <v/>
      </c>
    </row>
    <row r="538" spans="1:7">
      <c r="A538" s="1">
        <v>49177</v>
      </c>
      <c r="B538" t="s">
        <v>29</v>
      </c>
      <c r="C538">
        <v>18.2</v>
      </c>
      <c r="D538">
        <v>13.9</v>
      </c>
      <c r="E538" s="2">
        <f>C538*D538 / 100</f>
        <v>2.5297999999999998</v>
      </c>
      <c r="F538">
        <f>IF(F537 &lt; 7, F537 +1,1)</f>
        <v>5</v>
      </c>
      <c r="G538" t="str">
        <f t="shared" si="8"/>
        <v/>
      </c>
    </row>
    <row r="539" spans="1:7">
      <c r="A539" s="1">
        <v>49178</v>
      </c>
      <c r="B539" t="s">
        <v>33</v>
      </c>
      <c r="C539">
        <v>10.8</v>
      </c>
      <c r="D539">
        <v>7.9</v>
      </c>
      <c r="E539" s="2">
        <f>C539*D539 / 100</f>
        <v>0.85320000000000007</v>
      </c>
      <c r="F539">
        <f>IF(F538 &lt; 7, F538 +1,1)</f>
        <v>6</v>
      </c>
      <c r="G539" t="str">
        <f t="shared" si="8"/>
        <v/>
      </c>
    </row>
    <row r="540" spans="1:7">
      <c r="A540" s="1">
        <v>49179</v>
      </c>
      <c r="B540" t="s">
        <v>16</v>
      </c>
      <c r="C540">
        <v>27.9</v>
      </c>
      <c r="D540">
        <v>9.9</v>
      </c>
      <c r="E540" s="2">
        <f>C540*D540 / 100</f>
        <v>2.7620999999999998</v>
      </c>
      <c r="F540">
        <f>IF(F539 &lt; 7, F539 +1,1)</f>
        <v>7</v>
      </c>
      <c r="G540">
        <f t="shared" si="8"/>
        <v>151.5</v>
      </c>
    </row>
    <row r="541" spans="1:7">
      <c r="A541" s="1">
        <v>49180</v>
      </c>
      <c r="B541" t="s">
        <v>13</v>
      </c>
      <c r="C541">
        <v>14.1</v>
      </c>
      <c r="D541">
        <v>0.7</v>
      </c>
      <c r="E541" s="2">
        <f>C541*D541 / 100</f>
        <v>9.8699999999999996E-2</v>
      </c>
      <c r="F541">
        <f>IF(F540 &lt; 7, F540 +1,1)</f>
        <v>1</v>
      </c>
      <c r="G541" t="str">
        <f t="shared" si="8"/>
        <v/>
      </c>
    </row>
    <row r="542" spans="1:7">
      <c r="A542" s="1">
        <v>49181</v>
      </c>
      <c r="B542" t="s">
        <v>29</v>
      </c>
      <c r="C542">
        <v>17.5</v>
      </c>
      <c r="D542">
        <v>3.2</v>
      </c>
      <c r="E542" s="2">
        <f>C542*D542 / 100</f>
        <v>0.56000000000000005</v>
      </c>
      <c r="F542">
        <f>IF(F541 &lt; 7, F541 +1,1)</f>
        <v>2</v>
      </c>
      <c r="G542" t="str">
        <f t="shared" si="8"/>
        <v/>
      </c>
    </row>
    <row r="543" spans="1:7">
      <c r="A543" s="1">
        <v>49182</v>
      </c>
      <c r="B543" t="s">
        <v>21</v>
      </c>
      <c r="C543">
        <v>14.3</v>
      </c>
      <c r="D543">
        <v>0</v>
      </c>
      <c r="E543" s="2">
        <f>C543*D543 / 100</f>
        <v>0</v>
      </c>
      <c r="F543">
        <f>IF(F542 &lt; 7, F542 +1,1)</f>
        <v>3</v>
      </c>
      <c r="G543" t="str">
        <f t="shared" si="8"/>
        <v/>
      </c>
    </row>
    <row r="544" spans="1:7">
      <c r="A544" s="1">
        <v>49183</v>
      </c>
      <c r="B544" t="s">
        <v>18</v>
      </c>
      <c r="C544">
        <v>15.4</v>
      </c>
      <c r="D544">
        <v>0</v>
      </c>
      <c r="E544" s="2">
        <f>C544*D544 / 100</f>
        <v>0</v>
      </c>
      <c r="F544">
        <f>IF(F543 &lt; 7, F543 +1,1)</f>
        <v>4</v>
      </c>
      <c r="G544" t="str">
        <f t="shared" si="8"/>
        <v/>
      </c>
    </row>
    <row r="545" spans="1:7">
      <c r="A545" s="1">
        <v>49184</v>
      </c>
      <c r="B545" t="s">
        <v>36</v>
      </c>
      <c r="C545">
        <v>17.5</v>
      </c>
      <c r="D545">
        <v>0</v>
      </c>
      <c r="E545" s="2">
        <f>C545*D545 / 100</f>
        <v>0</v>
      </c>
      <c r="F545">
        <f>IF(F544 &lt; 7, F544 +1,1)</f>
        <v>5</v>
      </c>
      <c r="G545" t="str">
        <f t="shared" si="8"/>
        <v/>
      </c>
    </row>
    <row r="546" spans="1:7">
      <c r="A546" s="1">
        <v>49185</v>
      </c>
      <c r="B546" t="s">
        <v>19</v>
      </c>
      <c r="C546">
        <v>11.6</v>
      </c>
      <c r="D546">
        <v>4.0999999999999996</v>
      </c>
      <c r="E546" s="2">
        <f>C546*D546 / 100</f>
        <v>0.47559999999999997</v>
      </c>
      <c r="F546">
        <f>IF(F545 &lt; 7, F545 +1,1)</f>
        <v>6</v>
      </c>
      <c r="G546" t="str">
        <f t="shared" si="8"/>
        <v/>
      </c>
    </row>
    <row r="547" spans="1:7">
      <c r="A547" s="1">
        <v>49186</v>
      </c>
      <c r="B547" t="s">
        <v>26</v>
      </c>
      <c r="C547">
        <v>27.9</v>
      </c>
      <c r="D547">
        <v>10.3</v>
      </c>
      <c r="E547" s="2">
        <f>C547*D547 / 100</f>
        <v>2.8736999999999999</v>
      </c>
      <c r="F547">
        <f>IF(F546 &lt; 7, F546 +1,1)</f>
        <v>7</v>
      </c>
      <c r="G547">
        <f t="shared" si="8"/>
        <v>118.30000000000001</v>
      </c>
    </row>
    <row r="548" spans="1:7">
      <c r="A548" s="1">
        <v>49187</v>
      </c>
      <c r="B548" t="s">
        <v>36</v>
      </c>
      <c r="C548">
        <v>11.8</v>
      </c>
      <c r="D548">
        <v>20.2</v>
      </c>
      <c r="E548" s="2">
        <f>C548*D548 / 100</f>
        <v>2.3835999999999999</v>
      </c>
      <c r="F548">
        <f>IF(F547 &lt; 7, F547 +1,1)</f>
        <v>1</v>
      </c>
      <c r="G548" t="str">
        <f t="shared" si="8"/>
        <v/>
      </c>
    </row>
    <row r="549" spans="1:7">
      <c r="A549" s="1">
        <v>49188</v>
      </c>
      <c r="B549" t="s">
        <v>16</v>
      </c>
      <c r="C549">
        <v>12</v>
      </c>
      <c r="D549">
        <v>8.5</v>
      </c>
      <c r="E549" s="2">
        <f>C549*D549 / 100</f>
        <v>1.02</v>
      </c>
      <c r="F549">
        <f>IF(F548 &lt; 7, F548 +1,1)</f>
        <v>2</v>
      </c>
      <c r="G549" t="str">
        <f t="shared" si="8"/>
        <v/>
      </c>
    </row>
    <row r="550" spans="1:7">
      <c r="A550" s="1">
        <v>49189</v>
      </c>
      <c r="B550" t="s">
        <v>21</v>
      </c>
      <c r="C550">
        <v>11.8</v>
      </c>
      <c r="D550">
        <v>7.8</v>
      </c>
      <c r="E550" s="2">
        <f>C550*D550 / 100</f>
        <v>0.92040000000000011</v>
      </c>
      <c r="F550">
        <f>IF(F549 &lt; 7, F549 +1,1)</f>
        <v>3</v>
      </c>
      <c r="G550" t="str">
        <f t="shared" si="8"/>
        <v/>
      </c>
    </row>
    <row r="551" spans="1:7">
      <c r="A551" s="1">
        <v>49190</v>
      </c>
      <c r="B551" t="s">
        <v>23</v>
      </c>
      <c r="C551">
        <v>22.2</v>
      </c>
      <c r="D551">
        <v>0</v>
      </c>
      <c r="E551" s="2">
        <f>C551*D551 / 100</f>
        <v>0</v>
      </c>
      <c r="F551">
        <f>IF(F550 &lt; 7, F550 +1,1)</f>
        <v>4</v>
      </c>
      <c r="G551" t="str">
        <f t="shared" si="8"/>
        <v/>
      </c>
    </row>
    <row r="552" spans="1:7">
      <c r="A552" s="1">
        <v>49191</v>
      </c>
      <c r="B552" t="s">
        <v>16</v>
      </c>
      <c r="C552">
        <v>13.3</v>
      </c>
      <c r="D552">
        <v>3.8</v>
      </c>
      <c r="E552" s="2">
        <f>C552*D552 / 100</f>
        <v>0.50539999999999996</v>
      </c>
      <c r="F552">
        <f>IF(F551 &lt; 7, F551 +1,1)</f>
        <v>5</v>
      </c>
      <c r="G552" t="str">
        <f t="shared" si="8"/>
        <v/>
      </c>
    </row>
    <row r="553" spans="1:7">
      <c r="A553" s="1">
        <v>49192</v>
      </c>
      <c r="B553" t="s">
        <v>19</v>
      </c>
      <c r="C553">
        <v>24.6</v>
      </c>
      <c r="D553">
        <v>2.1</v>
      </c>
      <c r="E553" s="2">
        <f>C553*D553 / 100</f>
        <v>0.51660000000000006</v>
      </c>
      <c r="F553">
        <f>IF(F552 &lt; 7, F552 +1,1)</f>
        <v>6</v>
      </c>
      <c r="G553" t="str">
        <f t="shared" si="8"/>
        <v/>
      </c>
    </row>
    <row r="554" spans="1:7">
      <c r="A554" s="1">
        <v>49193</v>
      </c>
      <c r="B554" t="s">
        <v>36</v>
      </c>
      <c r="C554">
        <v>15.7</v>
      </c>
      <c r="D554">
        <v>0</v>
      </c>
      <c r="E554" s="2">
        <f>C554*D554 / 100</f>
        <v>0</v>
      </c>
      <c r="F554">
        <f>IF(F553 &lt; 7, F553 +1,1)</f>
        <v>7</v>
      </c>
      <c r="G554">
        <f t="shared" si="8"/>
        <v>111.39999999999999</v>
      </c>
    </row>
    <row r="555" spans="1:7">
      <c r="A555" s="1">
        <v>49194</v>
      </c>
      <c r="B555" t="s">
        <v>29</v>
      </c>
      <c r="C555">
        <v>26.7</v>
      </c>
      <c r="D555">
        <v>16.2</v>
      </c>
      <c r="E555" s="2">
        <f>C555*D555 / 100</f>
        <v>4.3253999999999992</v>
      </c>
      <c r="F555">
        <f>IF(F554 &lt; 7, F554 +1,1)</f>
        <v>1</v>
      </c>
      <c r="G555" t="str">
        <f t="shared" si="8"/>
        <v/>
      </c>
    </row>
    <row r="556" spans="1:7">
      <c r="A556" s="1">
        <v>49195</v>
      </c>
      <c r="B556" t="s">
        <v>33</v>
      </c>
      <c r="C556">
        <v>28.1</v>
      </c>
      <c r="D556">
        <v>1.1000000000000001</v>
      </c>
      <c r="E556" s="2">
        <f>C556*D556 / 100</f>
        <v>0.30910000000000004</v>
      </c>
      <c r="F556">
        <f>IF(F555 &lt; 7, F555 +1,1)</f>
        <v>2</v>
      </c>
      <c r="G556" t="str">
        <f t="shared" si="8"/>
        <v/>
      </c>
    </row>
    <row r="557" spans="1:7">
      <c r="A557" s="1">
        <v>49196</v>
      </c>
      <c r="B557" t="s">
        <v>21</v>
      </c>
      <c r="C557">
        <v>29.1</v>
      </c>
      <c r="D557">
        <v>3</v>
      </c>
      <c r="E557" s="2">
        <f>C557*D557 / 100</f>
        <v>0.87300000000000011</v>
      </c>
      <c r="F557">
        <f>IF(F556 &lt; 7, F556 +1,1)</f>
        <v>3</v>
      </c>
      <c r="G557" t="str">
        <f t="shared" si="8"/>
        <v/>
      </c>
    </row>
    <row r="558" spans="1:7">
      <c r="A558" s="1">
        <v>49197</v>
      </c>
      <c r="B558" t="s">
        <v>16</v>
      </c>
      <c r="C558">
        <v>26.2</v>
      </c>
      <c r="D558">
        <v>0</v>
      </c>
      <c r="E558" s="2">
        <f>C558*D558 / 100</f>
        <v>0</v>
      </c>
      <c r="F558">
        <f>IF(F557 &lt; 7, F557 +1,1)</f>
        <v>4</v>
      </c>
      <c r="G558" t="str">
        <f t="shared" si="8"/>
        <v/>
      </c>
    </row>
    <row r="559" spans="1:7">
      <c r="A559" s="1">
        <v>49198</v>
      </c>
      <c r="B559" t="s">
        <v>20</v>
      </c>
      <c r="C559">
        <v>23.3</v>
      </c>
      <c r="D559">
        <v>0</v>
      </c>
      <c r="E559" s="2">
        <f>C559*D559 / 100</f>
        <v>0</v>
      </c>
      <c r="F559">
        <f>IF(F558 &lt; 7, F558 +1,1)</f>
        <v>5</v>
      </c>
      <c r="G559" t="str">
        <f t="shared" si="8"/>
        <v/>
      </c>
    </row>
    <row r="560" spans="1:7">
      <c r="A560" s="1">
        <v>49199</v>
      </c>
      <c r="B560" t="s">
        <v>36</v>
      </c>
      <c r="C560">
        <v>21.7</v>
      </c>
      <c r="D560">
        <v>10.4</v>
      </c>
      <c r="E560" s="2">
        <f>C560*D560 / 100</f>
        <v>2.2568000000000001</v>
      </c>
      <c r="F560">
        <f>IF(F559 &lt; 7, F559 +1,1)</f>
        <v>6</v>
      </c>
      <c r="G560" t="str">
        <f t="shared" si="8"/>
        <v/>
      </c>
    </row>
    <row r="561" spans="1:7">
      <c r="A561" s="1">
        <v>49200</v>
      </c>
      <c r="B561" t="s">
        <v>29</v>
      </c>
      <c r="C561">
        <v>18.8</v>
      </c>
      <c r="D561">
        <v>15.6</v>
      </c>
      <c r="E561" s="2">
        <f>C561*D561 / 100</f>
        <v>2.9328000000000003</v>
      </c>
      <c r="F561">
        <f>IF(F560 &lt; 7, F560 +1,1)</f>
        <v>7</v>
      </c>
      <c r="G561">
        <f t="shared" si="8"/>
        <v>173.9</v>
      </c>
    </row>
    <row r="562" spans="1:7">
      <c r="A562" s="1">
        <v>49201</v>
      </c>
      <c r="B562" t="s">
        <v>33</v>
      </c>
      <c r="C562">
        <v>25.4</v>
      </c>
      <c r="D562">
        <v>7.4</v>
      </c>
      <c r="E562" s="2">
        <f>C562*D562 / 100</f>
        <v>1.8796000000000002</v>
      </c>
      <c r="F562">
        <f>IF(F561 &lt; 7, F561 +1,1)</f>
        <v>1</v>
      </c>
      <c r="G562" t="str">
        <f t="shared" si="8"/>
        <v/>
      </c>
    </row>
    <row r="563" spans="1:7">
      <c r="A563" s="1">
        <v>49202</v>
      </c>
      <c r="B563" t="s">
        <v>9</v>
      </c>
      <c r="C563">
        <v>21.1</v>
      </c>
      <c r="D563">
        <v>1</v>
      </c>
      <c r="E563" s="2">
        <f>C563*D563 / 100</f>
        <v>0.21100000000000002</v>
      </c>
      <c r="F563">
        <f>IF(F562 &lt; 7, F562 +1,1)</f>
        <v>2</v>
      </c>
      <c r="G563" t="str">
        <f t="shared" si="8"/>
        <v/>
      </c>
    </row>
    <row r="564" spans="1:7">
      <c r="A564" s="1">
        <v>49203</v>
      </c>
      <c r="B564" t="s">
        <v>9</v>
      </c>
      <c r="C564">
        <v>25.1</v>
      </c>
      <c r="D564">
        <v>20</v>
      </c>
      <c r="E564" s="2">
        <f>C564*D564 / 100</f>
        <v>5.0199999999999996</v>
      </c>
      <c r="F564">
        <f>IF(F563 &lt; 7, F563 +1,1)</f>
        <v>3</v>
      </c>
      <c r="G564" t="str">
        <f t="shared" si="8"/>
        <v/>
      </c>
    </row>
    <row r="565" spans="1:7">
      <c r="A565" s="1">
        <v>49204</v>
      </c>
      <c r="B565" t="s">
        <v>16</v>
      </c>
      <c r="C565">
        <v>17.600000000000001</v>
      </c>
      <c r="D565">
        <v>0</v>
      </c>
      <c r="E565" s="2">
        <f>C565*D565 / 100</f>
        <v>0</v>
      </c>
      <c r="F565">
        <f>IF(F564 &lt; 7, F564 +1,1)</f>
        <v>4</v>
      </c>
      <c r="G565" t="str">
        <f t="shared" si="8"/>
        <v/>
      </c>
    </row>
    <row r="566" spans="1:7">
      <c r="A566" s="1">
        <v>49205</v>
      </c>
      <c r="B566" t="s">
        <v>33</v>
      </c>
      <c r="C566">
        <v>21.2</v>
      </c>
      <c r="D566">
        <v>3.4</v>
      </c>
      <c r="E566" s="2">
        <f>C566*D566 / 100</f>
        <v>0.7208</v>
      </c>
      <c r="F566">
        <f>IF(F565 &lt; 7, F565 +1,1)</f>
        <v>5</v>
      </c>
      <c r="G566" t="str">
        <f t="shared" si="8"/>
        <v/>
      </c>
    </row>
    <row r="567" spans="1:7">
      <c r="A567" s="1">
        <v>49206</v>
      </c>
      <c r="B567" t="s">
        <v>16</v>
      </c>
      <c r="C567">
        <v>26.4</v>
      </c>
      <c r="D567">
        <v>14.7</v>
      </c>
      <c r="E567" s="2">
        <f>C567*D567 / 100</f>
        <v>3.8807999999999998</v>
      </c>
      <c r="F567">
        <f>IF(F566 &lt; 7, F566 +1,1)</f>
        <v>6</v>
      </c>
      <c r="G567" t="str">
        <f t="shared" si="8"/>
        <v/>
      </c>
    </row>
    <row r="568" spans="1:7">
      <c r="A568" s="1">
        <v>49207</v>
      </c>
      <c r="B568" t="s">
        <v>10</v>
      </c>
      <c r="C568">
        <v>13.5</v>
      </c>
      <c r="D568">
        <v>0</v>
      </c>
      <c r="E568" s="2">
        <f>C568*D568 / 100</f>
        <v>0</v>
      </c>
      <c r="F568">
        <f>IF(F567 &lt; 7, F567 +1,1)</f>
        <v>7</v>
      </c>
      <c r="G568">
        <f t="shared" si="8"/>
        <v>150.29999999999998</v>
      </c>
    </row>
    <row r="569" spans="1:7">
      <c r="A569" s="1">
        <v>49208</v>
      </c>
      <c r="B569" t="s">
        <v>24</v>
      </c>
      <c r="C569">
        <v>25.1</v>
      </c>
      <c r="D569">
        <v>0</v>
      </c>
      <c r="E569" s="2">
        <f>C569*D569 / 100</f>
        <v>0</v>
      </c>
      <c r="F569">
        <f>IF(F568 &lt; 7, F568 +1,1)</f>
        <v>1</v>
      </c>
      <c r="G569" t="str">
        <f t="shared" si="8"/>
        <v/>
      </c>
    </row>
    <row r="570" spans="1:7">
      <c r="A570" s="1">
        <v>49209</v>
      </c>
      <c r="B570" t="s">
        <v>9</v>
      </c>
      <c r="C570">
        <v>10.4</v>
      </c>
      <c r="D570">
        <v>11</v>
      </c>
      <c r="E570" s="2">
        <f>C570*D570 / 100</f>
        <v>1.1440000000000001</v>
      </c>
      <c r="F570">
        <f>IF(F569 &lt; 7, F569 +1,1)</f>
        <v>2</v>
      </c>
      <c r="G570" t="str">
        <f t="shared" si="8"/>
        <v/>
      </c>
    </row>
    <row r="571" spans="1:7">
      <c r="A571" s="1">
        <v>49210</v>
      </c>
      <c r="B571" t="s">
        <v>33</v>
      </c>
      <c r="C571">
        <v>24.3</v>
      </c>
      <c r="D571">
        <v>4.9000000000000004</v>
      </c>
      <c r="E571" s="2">
        <f>C571*D571 / 100</f>
        <v>1.1907000000000001</v>
      </c>
      <c r="F571">
        <f>IF(F570 &lt; 7, F570 +1,1)</f>
        <v>3</v>
      </c>
      <c r="G571" t="str">
        <f t="shared" si="8"/>
        <v/>
      </c>
    </row>
    <row r="572" spans="1:7">
      <c r="A572" s="1">
        <v>49211</v>
      </c>
      <c r="B572" t="s">
        <v>34</v>
      </c>
      <c r="C572">
        <v>18.7</v>
      </c>
      <c r="D572">
        <v>6.2</v>
      </c>
      <c r="E572" s="2">
        <f>C572*D572 / 100</f>
        <v>1.1594</v>
      </c>
      <c r="F572">
        <f>IF(F571 &lt; 7, F571 +1,1)</f>
        <v>4</v>
      </c>
      <c r="G572" t="str">
        <f t="shared" si="8"/>
        <v/>
      </c>
    </row>
    <row r="573" spans="1:7">
      <c r="A573" s="1">
        <v>49212</v>
      </c>
      <c r="B573" t="s">
        <v>32</v>
      </c>
      <c r="C573">
        <v>14.1</v>
      </c>
      <c r="D573">
        <v>0</v>
      </c>
      <c r="E573" s="2">
        <f>C573*D573 / 100</f>
        <v>0</v>
      </c>
      <c r="F573">
        <f>IF(F572 &lt; 7, F572 +1,1)</f>
        <v>5</v>
      </c>
      <c r="G573" t="str">
        <f t="shared" si="8"/>
        <v/>
      </c>
    </row>
    <row r="574" spans="1:7">
      <c r="A574" s="1">
        <v>49213</v>
      </c>
      <c r="B574" t="s">
        <v>6</v>
      </c>
      <c r="C574">
        <v>24.2</v>
      </c>
      <c r="D574">
        <v>0</v>
      </c>
      <c r="E574" s="2">
        <f>C574*D574 / 100</f>
        <v>0</v>
      </c>
      <c r="F574">
        <f>IF(F573 &lt; 7, F573 +1,1)</f>
        <v>6</v>
      </c>
      <c r="G574" t="str">
        <f t="shared" si="8"/>
        <v/>
      </c>
    </row>
    <row r="575" spans="1:7">
      <c r="A575" s="1">
        <v>49214</v>
      </c>
      <c r="B575" t="s">
        <v>24</v>
      </c>
      <c r="C575">
        <v>26.4</v>
      </c>
      <c r="D575">
        <v>0</v>
      </c>
      <c r="E575" s="2">
        <f>C575*D575 / 100</f>
        <v>0</v>
      </c>
      <c r="F575">
        <f>IF(F574 &lt; 7, F574 +1,1)</f>
        <v>7</v>
      </c>
      <c r="G575">
        <f t="shared" si="8"/>
        <v>143.19999999999999</v>
      </c>
    </row>
    <row r="576" spans="1:7">
      <c r="A576" s="1">
        <v>49215</v>
      </c>
      <c r="B576" t="s">
        <v>21</v>
      </c>
      <c r="C576">
        <v>24.5</v>
      </c>
      <c r="D576">
        <v>4</v>
      </c>
      <c r="E576" s="2">
        <f>C576*D576 / 100</f>
        <v>0.98</v>
      </c>
      <c r="F576">
        <f>IF(F575 &lt; 7, F575 +1,1)</f>
        <v>1</v>
      </c>
      <c r="G576" t="str">
        <f t="shared" si="8"/>
        <v/>
      </c>
    </row>
    <row r="577" spans="1:7">
      <c r="A577" s="1">
        <v>49216</v>
      </c>
      <c r="B577" t="s">
        <v>11</v>
      </c>
      <c r="C577">
        <v>25.5</v>
      </c>
      <c r="D577">
        <v>2.9</v>
      </c>
      <c r="E577" s="2">
        <f>C577*D577 / 100</f>
        <v>0.73950000000000005</v>
      </c>
      <c r="F577">
        <f>IF(F576 &lt; 7, F576 +1,1)</f>
        <v>2</v>
      </c>
      <c r="G577" t="str">
        <f t="shared" si="8"/>
        <v/>
      </c>
    </row>
    <row r="578" spans="1:7">
      <c r="A578" s="1">
        <v>49217</v>
      </c>
      <c r="B578" t="s">
        <v>9</v>
      </c>
      <c r="C578">
        <v>11.8</v>
      </c>
      <c r="D578">
        <v>13.5</v>
      </c>
      <c r="E578" s="2">
        <f>C578*D578 / 100</f>
        <v>1.5930000000000002</v>
      </c>
      <c r="F578">
        <f>IF(F577 &lt; 7, F577 +1,1)</f>
        <v>3</v>
      </c>
      <c r="G578" t="str">
        <f t="shared" si="8"/>
        <v/>
      </c>
    </row>
    <row r="579" spans="1:7">
      <c r="A579" s="1">
        <v>49218</v>
      </c>
      <c r="B579" t="s">
        <v>24</v>
      </c>
      <c r="C579">
        <v>14.3</v>
      </c>
      <c r="D579">
        <v>5.4</v>
      </c>
      <c r="E579" s="2">
        <f>C579*D579 / 100</f>
        <v>0.77220000000000011</v>
      </c>
      <c r="F579">
        <f>IF(F578 &lt; 7, F578 +1,1)</f>
        <v>4</v>
      </c>
      <c r="G579" t="str">
        <f t="shared" si="8"/>
        <v/>
      </c>
    </row>
    <row r="580" spans="1:7">
      <c r="A580" s="1">
        <v>49219</v>
      </c>
      <c r="B580" t="s">
        <v>26</v>
      </c>
      <c r="C580">
        <v>12.4</v>
      </c>
      <c r="D580">
        <v>1.2</v>
      </c>
      <c r="E580" s="2">
        <f>C580*D580 / 100</f>
        <v>0.14879999999999999</v>
      </c>
      <c r="F580">
        <f>IF(F579 &lt; 7, F579 +1,1)</f>
        <v>5</v>
      </c>
      <c r="G580" t="str">
        <f t="shared" si="8"/>
        <v/>
      </c>
    </row>
    <row r="581" spans="1:7">
      <c r="A581" s="1">
        <v>49220</v>
      </c>
      <c r="B581" t="s">
        <v>36</v>
      </c>
      <c r="C581">
        <v>29.3</v>
      </c>
      <c r="D581">
        <v>19.8</v>
      </c>
      <c r="E581" s="2">
        <f>C581*D581 / 100</f>
        <v>5.8014000000000001</v>
      </c>
      <c r="F581">
        <f>IF(F580 &lt; 7, F580 +1,1)</f>
        <v>6</v>
      </c>
      <c r="G581" t="str">
        <f t="shared" si="8"/>
        <v/>
      </c>
    </row>
    <row r="582" spans="1:7">
      <c r="A582" s="1">
        <v>49221</v>
      </c>
      <c r="B582" t="s">
        <v>16</v>
      </c>
      <c r="C582">
        <v>29.4</v>
      </c>
      <c r="D582">
        <v>0</v>
      </c>
      <c r="E582" s="2">
        <f>C582*D582 / 100</f>
        <v>0</v>
      </c>
      <c r="F582">
        <f>IF(F581 &lt; 7, F581 +1,1)</f>
        <v>7</v>
      </c>
      <c r="G582">
        <f t="shared" si="8"/>
        <v>147.19999999999999</v>
      </c>
    </row>
    <row r="583" spans="1:7">
      <c r="A583" s="1">
        <v>49222</v>
      </c>
      <c r="B583" t="s">
        <v>19</v>
      </c>
      <c r="C583">
        <v>29.8</v>
      </c>
      <c r="D583">
        <v>16</v>
      </c>
      <c r="E583" s="2">
        <f>C583*D583 / 100</f>
        <v>4.7679999999999998</v>
      </c>
      <c r="F583">
        <f>IF(F582 &lt; 7, F582 +1,1)</f>
        <v>1</v>
      </c>
      <c r="G583" t="str">
        <f t="shared" si="8"/>
        <v/>
      </c>
    </row>
    <row r="584" spans="1:7">
      <c r="A584" s="1">
        <v>49223</v>
      </c>
      <c r="B584" t="s">
        <v>36</v>
      </c>
      <c r="C584">
        <v>29.9</v>
      </c>
      <c r="D584">
        <v>13.3</v>
      </c>
      <c r="E584" s="2">
        <f>C584*D584 / 100</f>
        <v>3.9767000000000001</v>
      </c>
      <c r="F584">
        <f>IF(F583 &lt; 7, F583 +1,1)</f>
        <v>2</v>
      </c>
      <c r="G584" t="str">
        <f t="shared" si="8"/>
        <v/>
      </c>
    </row>
    <row r="585" spans="1:7">
      <c r="A585" s="1">
        <v>49224</v>
      </c>
      <c r="B585" t="s">
        <v>26</v>
      </c>
      <c r="C585">
        <v>11.6</v>
      </c>
      <c r="D585">
        <v>9.6999999999999993</v>
      </c>
      <c r="E585" s="2">
        <f>C585*D585 / 100</f>
        <v>1.1251999999999998</v>
      </c>
      <c r="F585">
        <f>IF(F584 &lt; 7, F584 +1,1)</f>
        <v>3</v>
      </c>
      <c r="G585" t="str">
        <f t="shared" ref="G585:G648" si="9">IF(F585=7, SUM(C579:C585), "")</f>
        <v/>
      </c>
    </row>
    <row r="586" spans="1:7">
      <c r="A586" s="1">
        <v>49225</v>
      </c>
      <c r="B586" t="s">
        <v>9</v>
      </c>
      <c r="C586">
        <v>10.199999999999999</v>
      </c>
      <c r="D586">
        <v>0</v>
      </c>
      <c r="E586" s="2">
        <f>C586*D586 / 100</f>
        <v>0</v>
      </c>
      <c r="F586">
        <f>IF(F585 &lt; 7, F585 +1,1)</f>
        <v>4</v>
      </c>
      <c r="G586" t="str">
        <f t="shared" si="9"/>
        <v/>
      </c>
    </row>
    <row r="587" spans="1:7">
      <c r="A587" s="1">
        <v>49226</v>
      </c>
      <c r="B587" t="s">
        <v>26</v>
      </c>
      <c r="C587">
        <v>10.7</v>
      </c>
      <c r="D587">
        <v>11.9</v>
      </c>
      <c r="E587" s="2">
        <f>C587*D587 / 100</f>
        <v>1.2732999999999999</v>
      </c>
      <c r="F587">
        <f>IF(F586 &lt; 7, F586 +1,1)</f>
        <v>5</v>
      </c>
      <c r="G587" t="str">
        <f t="shared" si="9"/>
        <v/>
      </c>
    </row>
    <row r="588" spans="1:7">
      <c r="A588" s="1">
        <v>49227</v>
      </c>
      <c r="B588" t="s">
        <v>17</v>
      </c>
      <c r="C588">
        <v>11.7</v>
      </c>
      <c r="D588">
        <v>0.1</v>
      </c>
      <c r="E588" s="2">
        <f>C588*D588 / 100</f>
        <v>1.1699999999999999E-2</v>
      </c>
      <c r="F588">
        <f>IF(F587 &lt; 7, F587 +1,1)</f>
        <v>6</v>
      </c>
      <c r="G588" t="str">
        <f t="shared" si="9"/>
        <v/>
      </c>
    </row>
    <row r="589" spans="1:7">
      <c r="A589" s="1">
        <v>49228</v>
      </c>
      <c r="B589" t="s">
        <v>29</v>
      </c>
      <c r="C589">
        <v>29.4</v>
      </c>
      <c r="D589">
        <v>9.6</v>
      </c>
      <c r="E589" s="2">
        <f>C589*D589 / 100</f>
        <v>2.8223999999999996</v>
      </c>
      <c r="F589">
        <f>IF(F588 &lt; 7, F588 +1,1)</f>
        <v>7</v>
      </c>
      <c r="G589">
        <f t="shared" si="9"/>
        <v>133.30000000000001</v>
      </c>
    </row>
    <row r="590" spans="1:7">
      <c r="A590" s="1">
        <v>49229</v>
      </c>
      <c r="B590" t="s">
        <v>18</v>
      </c>
      <c r="C590">
        <v>29.1</v>
      </c>
      <c r="D590">
        <v>2.6</v>
      </c>
      <c r="E590" s="2">
        <f>C590*D590 / 100</f>
        <v>0.75660000000000016</v>
      </c>
      <c r="F590">
        <f>IF(F589 &lt; 7, F589 +1,1)</f>
        <v>1</v>
      </c>
      <c r="G590" t="str">
        <f t="shared" si="9"/>
        <v/>
      </c>
    </row>
    <row r="591" spans="1:7">
      <c r="A591" s="1">
        <v>49230</v>
      </c>
      <c r="B591" t="s">
        <v>21</v>
      </c>
      <c r="C591">
        <v>20.5</v>
      </c>
      <c r="D591">
        <v>30.1</v>
      </c>
      <c r="E591" s="2">
        <f>C591*D591 / 100</f>
        <v>6.1705000000000005</v>
      </c>
      <c r="F591">
        <f>IF(F590 &lt; 7, F590 +1,1)</f>
        <v>2</v>
      </c>
      <c r="G591" t="str">
        <f t="shared" si="9"/>
        <v/>
      </c>
    </row>
    <row r="592" spans="1:7">
      <c r="A592" s="1">
        <v>49231</v>
      </c>
      <c r="B592" t="s">
        <v>16</v>
      </c>
      <c r="C592">
        <v>26.2</v>
      </c>
      <c r="D592">
        <v>19</v>
      </c>
      <c r="E592" s="2">
        <f>C592*D592 / 100</f>
        <v>4.9779999999999998</v>
      </c>
      <c r="F592">
        <f>IF(F591 &lt; 7, F591 +1,1)</f>
        <v>3</v>
      </c>
      <c r="G592" t="str">
        <f t="shared" si="9"/>
        <v/>
      </c>
    </row>
    <row r="593" spans="1:7">
      <c r="A593" s="1">
        <v>49232</v>
      </c>
      <c r="B593" t="s">
        <v>33</v>
      </c>
      <c r="C593">
        <v>22.6</v>
      </c>
      <c r="D593">
        <v>0</v>
      </c>
      <c r="E593" s="2">
        <f>C593*D593 / 100</f>
        <v>0</v>
      </c>
      <c r="F593">
        <f>IF(F592 &lt; 7, F592 +1,1)</f>
        <v>4</v>
      </c>
      <c r="G593" t="str">
        <f t="shared" si="9"/>
        <v/>
      </c>
    </row>
    <row r="594" spans="1:7">
      <c r="A594" s="1">
        <v>49233</v>
      </c>
      <c r="B594" t="s">
        <v>11</v>
      </c>
      <c r="C594">
        <v>17.7</v>
      </c>
      <c r="D594">
        <v>0</v>
      </c>
      <c r="E594" s="2">
        <f>C594*D594 / 100</f>
        <v>0</v>
      </c>
      <c r="F594">
        <f>IF(F593 &lt; 7, F593 +1,1)</f>
        <v>5</v>
      </c>
      <c r="G594" t="str">
        <f t="shared" si="9"/>
        <v/>
      </c>
    </row>
    <row r="595" spans="1:7">
      <c r="A595" s="1">
        <v>49234</v>
      </c>
      <c r="B595" t="s">
        <v>36</v>
      </c>
      <c r="C595">
        <v>21.2</v>
      </c>
      <c r="D595">
        <v>0</v>
      </c>
      <c r="E595" s="2">
        <f>C595*D595 / 100</f>
        <v>0</v>
      </c>
      <c r="F595">
        <f>IF(F594 &lt; 7, F594 +1,1)</f>
        <v>6</v>
      </c>
      <c r="G595" t="str">
        <f t="shared" si="9"/>
        <v/>
      </c>
    </row>
    <row r="596" spans="1:7">
      <c r="A596" s="1">
        <v>49235</v>
      </c>
      <c r="B596" t="s">
        <v>32</v>
      </c>
      <c r="C596">
        <v>10.3</v>
      </c>
      <c r="D596">
        <v>0.2</v>
      </c>
      <c r="E596" s="2">
        <f>C596*D596 / 100</f>
        <v>2.06E-2</v>
      </c>
      <c r="F596">
        <f>IF(F595 &lt; 7, F595 +1,1)</f>
        <v>7</v>
      </c>
      <c r="G596">
        <f t="shared" si="9"/>
        <v>147.60000000000002</v>
      </c>
    </row>
    <row r="597" spans="1:7">
      <c r="A597" s="1">
        <v>49236</v>
      </c>
      <c r="B597" t="s">
        <v>35</v>
      </c>
      <c r="C597">
        <v>10.1</v>
      </c>
      <c r="D597">
        <v>2.1</v>
      </c>
      <c r="E597" s="2">
        <f>C597*D597 / 100</f>
        <v>0.21210000000000001</v>
      </c>
      <c r="F597">
        <f>IF(F596 &lt; 7, F596 +1,1)</f>
        <v>1</v>
      </c>
      <c r="G597" t="str">
        <f t="shared" si="9"/>
        <v/>
      </c>
    </row>
    <row r="598" spans="1:7">
      <c r="A598" s="1">
        <v>49237</v>
      </c>
      <c r="B598" t="s">
        <v>22</v>
      </c>
      <c r="C598">
        <v>23.4</v>
      </c>
      <c r="D598">
        <v>3.9</v>
      </c>
      <c r="E598" s="2">
        <f>C598*D598 / 100</f>
        <v>0.91259999999999986</v>
      </c>
      <c r="F598">
        <f>IF(F597 &lt; 7, F597 +1,1)</f>
        <v>2</v>
      </c>
      <c r="G598" t="str">
        <f t="shared" si="9"/>
        <v/>
      </c>
    </row>
    <row r="599" spans="1:7">
      <c r="A599" s="1">
        <v>49238</v>
      </c>
      <c r="B599" t="s">
        <v>20</v>
      </c>
      <c r="C599">
        <v>11.7</v>
      </c>
      <c r="D599">
        <v>0</v>
      </c>
      <c r="E599" s="2">
        <f>C599*D599 / 100</f>
        <v>0</v>
      </c>
      <c r="F599">
        <f>IF(F598 &lt; 7, F598 +1,1)</f>
        <v>3</v>
      </c>
      <c r="G599" t="str">
        <f t="shared" si="9"/>
        <v/>
      </c>
    </row>
    <row r="600" spans="1:7">
      <c r="A600" s="1">
        <v>49239</v>
      </c>
      <c r="B600" t="s">
        <v>10</v>
      </c>
      <c r="C600">
        <v>26</v>
      </c>
      <c r="D600">
        <v>2.1</v>
      </c>
      <c r="E600" s="2">
        <f>C600*D600 / 100</f>
        <v>0.54600000000000004</v>
      </c>
      <c r="F600">
        <f>IF(F599 &lt; 7, F599 +1,1)</f>
        <v>4</v>
      </c>
      <c r="G600" t="str">
        <f t="shared" si="9"/>
        <v/>
      </c>
    </row>
    <row r="601" spans="1:7">
      <c r="A601" s="1">
        <v>49240</v>
      </c>
      <c r="B601" t="s">
        <v>17</v>
      </c>
      <c r="C601">
        <v>29.5</v>
      </c>
      <c r="D601">
        <v>0.4</v>
      </c>
      <c r="E601" s="2">
        <f>C601*D601 / 100</f>
        <v>0.11800000000000001</v>
      </c>
      <c r="F601">
        <f>IF(F600 &lt; 7, F600 +1,1)</f>
        <v>5</v>
      </c>
      <c r="G601" t="str">
        <f t="shared" si="9"/>
        <v/>
      </c>
    </row>
    <row r="602" spans="1:7">
      <c r="A602" s="1">
        <v>49241</v>
      </c>
      <c r="B602" t="s">
        <v>11</v>
      </c>
      <c r="C602">
        <v>13</v>
      </c>
      <c r="D602">
        <v>4.4000000000000004</v>
      </c>
      <c r="E602" s="2">
        <f>C602*D602 / 100</f>
        <v>0.57200000000000006</v>
      </c>
      <c r="F602">
        <f>IF(F601 &lt; 7, F601 +1,1)</f>
        <v>6</v>
      </c>
      <c r="G602" t="str">
        <f t="shared" si="9"/>
        <v/>
      </c>
    </row>
    <row r="603" spans="1:7">
      <c r="A603" s="1">
        <v>49242</v>
      </c>
      <c r="B603" t="s">
        <v>26</v>
      </c>
      <c r="C603">
        <v>17.100000000000001</v>
      </c>
      <c r="D603">
        <v>3.8</v>
      </c>
      <c r="E603" s="2">
        <f>C603*D603 / 100</f>
        <v>0.64980000000000004</v>
      </c>
      <c r="F603">
        <f>IF(F602 &lt; 7, F602 +1,1)</f>
        <v>7</v>
      </c>
      <c r="G603">
        <f t="shared" si="9"/>
        <v>130.80000000000001</v>
      </c>
    </row>
    <row r="604" spans="1:7">
      <c r="A604" s="1">
        <v>49243</v>
      </c>
      <c r="B604" t="s">
        <v>14</v>
      </c>
      <c r="C604">
        <v>12.6</v>
      </c>
      <c r="D604">
        <v>0.2</v>
      </c>
      <c r="E604" s="2">
        <f>C604*D604 / 100</f>
        <v>2.52E-2</v>
      </c>
      <c r="F604">
        <f>IF(F603 &lt; 7, F603 +1,1)</f>
        <v>1</v>
      </c>
      <c r="G604" t="str">
        <f t="shared" si="9"/>
        <v/>
      </c>
    </row>
    <row r="605" spans="1:7">
      <c r="A605" s="1">
        <v>49244</v>
      </c>
      <c r="B605" t="s">
        <v>21</v>
      </c>
      <c r="C605">
        <v>23.6</v>
      </c>
      <c r="D605">
        <v>24.1</v>
      </c>
      <c r="E605" s="2">
        <f>C605*D605 / 100</f>
        <v>5.6876000000000007</v>
      </c>
      <c r="F605">
        <f>IF(F604 &lt; 7, F604 +1,1)</f>
        <v>2</v>
      </c>
      <c r="G605" t="str">
        <f t="shared" si="9"/>
        <v/>
      </c>
    </row>
    <row r="606" spans="1:7">
      <c r="A606" s="1">
        <v>49245</v>
      </c>
      <c r="B606" t="s">
        <v>9</v>
      </c>
      <c r="C606">
        <v>14.9</v>
      </c>
      <c r="D606">
        <v>14.2</v>
      </c>
      <c r="E606" s="2">
        <f>C606*D606 / 100</f>
        <v>2.1157999999999997</v>
      </c>
      <c r="F606">
        <f>IF(F605 &lt; 7, F605 +1,1)</f>
        <v>3</v>
      </c>
      <c r="G606" t="str">
        <f t="shared" si="9"/>
        <v/>
      </c>
    </row>
    <row r="607" spans="1:7">
      <c r="A607" s="1">
        <v>49246</v>
      </c>
      <c r="B607" t="s">
        <v>34</v>
      </c>
      <c r="C607">
        <v>17</v>
      </c>
      <c r="D607">
        <v>0</v>
      </c>
      <c r="E607" s="2">
        <f>C607*D607 / 100</f>
        <v>0</v>
      </c>
      <c r="F607">
        <f>IF(F606 &lt; 7, F606 +1,1)</f>
        <v>4</v>
      </c>
      <c r="G607" t="str">
        <f t="shared" si="9"/>
        <v/>
      </c>
    </row>
    <row r="608" spans="1:7">
      <c r="A608" s="1">
        <v>49247</v>
      </c>
      <c r="B608" t="s">
        <v>9</v>
      </c>
      <c r="C608">
        <v>12.8</v>
      </c>
      <c r="D608">
        <v>0</v>
      </c>
      <c r="E608" s="2">
        <f>C608*D608 / 100</f>
        <v>0</v>
      </c>
      <c r="F608">
        <f>IF(F607 &lt; 7, F607 +1,1)</f>
        <v>5</v>
      </c>
      <c r="G608" t="str">
        <f t="shared" si="9"/>
        <v/>
      </c>
    </row>
    <row r="609" spans="1:7">
      <c r="A609" s="1">
        <v>49248</v>
      </c>
      <c r="B609" t="s">
        <v>19</v>
      </c>
      <c r="C609">
        <v>17.5</v>
      </c>
      <c r="D609">
        <v>0</v>
      </c>
      <c r="E609" s="2">
        <f>C609*D609 / 100</f>
        <v>0</v>
      </c>
      <c r="F609">
        <f>IF(F608 &lt; 7, F608 +1,1)</f>
        <v>6</v>
      </c>
      <c r="G609" t="str">
        <f t="shared" si="9"/>
        <v/>
      </c>
    </row>
    <row r="610" spans="1:7">
      <c r="A610" s="1">
        <v>49249</v>
      </c>
      <c r="B610" t="s">
        <v>21</v>
      </c>
      <c r="C610">
        <v>13.9</v>
      </c>
      <c r="D610">
        <v>15.3</v>
      </c>
      <c r="E610" s="2">
        <f>C610*D610 / 100</f>
        <v>2.1267</v>
      </c>
      <c r="F610">
        <f>IF(F609 &lt; 7, F609 +1,1)</f>
        <v>7</v>
      </c>
      <c r="G610">
        <f t="shared" si="9"/>
        <v>112.3</v>
      </c>
    </row>
    <row r="611" spans="1:7">
      <c r="A611" s="1">
        <v>49250</v>
      </c>
      <c r="B611" t="s">
        <v>36</v>
      </c>
      <c r="C611">
        <v>25.9</v>
      </c>
      <c r="D611">
        <v>14.5</v>
      </c>
      <c r="E611" s="2">
        <f>C611*D611 / 100</f>
        <v>3.7554999999999996</v>
      </c>
      <c r="F611">
        <f>IF(F610 &lt; 7, F610 +1,1)</f>
        <v>1</v>
      </c>
      <c r="G611" t="str">
        <f t="shared" si="9"/>
        <v/>
      </c>
    </row>
    <row r="612" spans="1:7">
      <c r="A612" s="1">
        <v>49251</v>
      </c>
      <c r="B612" t="s">
        <v>23</v>
      </c>
      <c r="C612">
        <v>12.1</v>
      </c>
      <c r="D612">
        <v>0</v>
      </c>
      <c r="E612" s="2">
        <f>C612*D612 / 100</f>
        <v>0</v>
      </c>
      <c r="F612">
        <f>IF(F611 &lt; 7, F611 +1,1)</f>
        <v>2</v>
      </c>
      <c r="G612" t="str">
        <f t="shared" si="9"/>
        <v/>
      </c>
    </row>
    <row r="613" spans="1:7">
      <c r="A613" s="1">
        <v>49252</v>
      </c>
      <c r="B613" t="s">
        <v>16</v>
      </c>
      <c r="C613">
        <v>25.8</v>
      </c>
      <c r="D613">
        <v>12.3</v>
      </c>
      <c r="E613" s="2">
        <f>C613*D613 / 100</f>
        <v>3.1734000000000004</v>
      </c>
      <c r="F613">
        <f>IF(F612 &lt; 7, F612 +1,1)</f>
        <v>3</v>
      </c>
      <c r="G613" t="str">
        <f t="shared" si="9"/>
        <v/>
      </c>
    </row>
    <row r="614" spans="1:7">
      <c r="A614" s="1">
        <v>49253</v>
      </c>
      <c r="B614" t="s">
        <v>26</v>
      </c>
      <c r="C614">
        <v>29.1</v>
      </c>
      <c r="D614">
        <v>0</v>
      </c>
      <c r="E614" s="2">
        <f>C614*D614 / 100</f>
        <v>0</v>
      </c>
      <c r="F614">
        <f>IF(F613 &lt; 7, F613 +1,1)</f>
        <v>4</v>
      </c>
      <c r="G614" t="str">
        <f t="shared" si="9"/>
        <v/>
      </c>
    </row>
    <row r="615" spans="1:7">
      <c r="A615" s="1">
        <v>49254</v>
      </c>
      <c r="B615" t="s">
        <v>21</v>
      </c>
      <c r="C615">
        <v>13.2</v>
      </c>
      <c r="D615">
        <v>0</v>
      </c>
      <c r="E615" s="2">
        <f>C615*D615 / 100</f>
        <v>0</v>
      </c>
      <c r="F615">
        <f>IF(F614 &lt; 7, F614 +1,1)</f>
        <v>5</v>
      </c>
      <c r="G615" t="str">
        <f t="shared" si="9"/>
        <v/>
      </c>
    </row>
    <row r="616" spans="1:7">
      <c r="A616" s="1">
        <v>49255</v>
      </c>
      <c r="B616" t="s">
        <v>16</v>
      </c>
      <c r="C616">
        <v>29.4</v>
      </c>
      <c r="D616">
        <v>12.8</v>
      </c>
      <c r="E616" s="2">
        <f>C616*D616 / 100</f>
        <v>3.7631999999999999</v>
      </c>
      <c r="F616">
        <f>IF(F615 &lt; 7, F615 +1,1)</f>
        <v>6</v>
      </c>
      <c r="G616" t="str">
        <f t="shared" si="9"/>
        <v/>
      </c>
    </row>
    <row r="617" spans="1:7">
      <c r="A617" s="1">
        <v>49256</v>
      </c>
      <c r="B617" t="s">
        <v>33</v>
      </c>
      <c r="C617">
        <v>21</v>
      </c>
      <c r="D617">
        <v>0</v>
      </c>
      <c r="E617" s="2">
        <f>C617*D617 / 100</f>
        <v>0</v>
      </c>
      <c r="F617">
        <f>IF(F616 &lt; 7, F616 +1,1)</f>
        <v>7</v>
      </c>
      <c r="G617">
        <f t="shared" si="9"/>
        <v>156.5</v>
      </c>
    </row>
    <row r="618" spans="1:7">
      <c r="A618" s="1">
        <v>49257</v>
      </c>
      <c r="B618" t="s">
        <v>30</v>
      </c>
      <c r="C618">
        <v>22.7</v>
      </c>
      <c r="D618">
        <v>12.4</v>
      </c>
      <c r="E618" s="2">
        <f>C618*D618 / 100</f>
        <v>2.8148</v>
      </c>
      <c r="F618">
        <f>IF(F617 &lt; 7, F617 +1,1)</f>
        <v>1</v>
      </c>
      <c r="G618" t="str">
        <f t="shared" si="9"/>
        <v/>
      </c>
    </row>
    <row r="619" spans="1:7">
      <c r="A619" s="1">
        <v>49258</v>
      </c>
      <c r="B619" t="s">
        <v>21</v>
      </c>
      <c r="C619">
        <v>25.1</v>
      </c>
      <c r="D619">
        <v>43.4</v>
      </c>
      <c r="E619" s="2">
        <f>C619*D619 / 100</f>
        <v>10.8934</v>
      </c>
      <c r="F619">
        <f>IF(F618 &lt; 7, F618 +1,1)</f>
        <v>2</v>
      </c>
      <c r="G619" t="str">
        <f t="shared" si="9"/>
        <v/>
      </c>
    </row>
    <row r="620" spans="1:7">
      <c r="A620" s="1">
        <v>49259</v>
      </c>
      <c r="B620" t="s">
        <v>21</v>
      </c>
      <c r="C620">
        <v>26.8</v>
      </c>
      <c r="D620">
        <v>26.9</v>
      </c>
      <c r="E620" s="2">
        <f>C620*D620 / 100</f>
        <v>7.2091999999999992</v>
      </c>
      <c r="F620">
        <f>IF(F619 &lt; 7, F619 +1,1)</f>
        <v>3</v>
      </c>
      <c r="G620" t="str">
        <f t="shared" si="9"/>
        <v/>
      </c>
    </row>
    <row r="621" spans="1:7">
      <c r="A621" s="1">
        <v>49260</v>
      </c>
      <c r="B621" t="s">
        <v>25</v>
      </c>
      <c r="C621">
        <v>15.9</v>
      </c>
      <c r="D621">
        <v>0.5</v>
      </c>
      <c r="E621" s="2">
        <f>C621*D621 / 100</f>
        <v>7.9500000000000001E-2</v>
      </c>
      <c r="F621">
        <f>IF(F620 &lt; 7, F620 +1,1)</f>
        <v>4</v>
      </c>
      <c r="G621" t="str">
        <f t="shared" si="9"/>
        <v/>
      </c>
    </row>
    <row r="622" spans="1:7">
      <c r="A622" s="1">
        <v>49261</v>
      </c>
      <c r="B622" t="s">
        <v>29</v>
      </c>
      <c r="C622">
        <v>27.6</v>
      </c>
      <c r="D622">
        <v>0</v>
      </c>
      <c r="E622" s="2">
        <f>C622*D622 / 100</f>
        <v>0</v>
      </c>
      <c r="F622">
        <f>IF(F621 &lt; 7, F621 +1,1)</f>
        <v>5</v>
      </c>
      <c r="G622" t="str">
        <f t="shared" si="9"/>
        <v/>
      </c>
    </row>
    <row r="623" spans="1:7">
      <c r="A623" s="1">
        <v>49262</v>
      </c>
      <c r="B623" t="s">
        <v>35</v>
      </c>
      <c r="C623">
        <v>20.8</v>
      </c>
      <c r="D623">
        <v>0</v>
      </c>
      <c r="E623" s="2">
        <f>C623*D623 / 100</f>
        <v>0</v>
      </c>
      <c r="F623">
        <f>IF(F622 &lt; 7, F622 +1,1)</f>
        <v>6</v>
      </c>
      <c r="G623" t="str">
        <f t="shared" si="9"/>
        <v/>
      </c>
    </row>
    <row r="624" spans="1:7">
      <c r="A624" s="1">
        <v>49263</v>
      </c>
      <c r="B624" t="s">
        <v>30</v>
      </c>
      <c r="C624">
        <v>23.9</v>
      </c>
      <c r="D624">
        <v>9.9</v>
      </c>
      <c r="E624" s="2">
        <f>C624*D624 / 100</f>
        <v>2.3660999999999999</v>
      </c>
      <c r="F624">
        <f>IF(F623 &lt; 7, F623 +1,1)</f>
        <v>7</v>
      </c>
      <c r="G624">
        <f t="shared" si="9"/>
        <v>162.80000000000001</v>
      </c>
    </row>
    <row r="625" spans="1:7">
      <c r="A625" s="1">
        <v>49264</v>
      </c>
      <c r="B625" t="s">
        <v>14</v>
      </c>
      <c r="C625">
        <v>24.8</v>
      </c>
      <c r="D625">
        <v>4.7</v>
      </c>
      <c r="E625" s="2">
        <f>C625*D625 / 100</f>
        <v>1.1656</v>
      </c>
      <c r="F625">
        <f>IF(F624 &lt; 7, F624 +1,1)</f>
        <v>1</v>
      </c>
      <c r="G625" t="str">
        <f t="shared" si="9"/>
        <v/>
      </c>
    </row>
    <row r="626" spans="1:7">
      <c r="A626" s="1">
        <v>49265</v>
      </c>
      <c r="B626" t="s">
        <v>36</v>
      </c>
      <c r="C626">
        <v>16.3</v>
      </c>
      <c r="D626">
        <v>0</v>
      </c>
      <c r="E626" s="2">
        <f>C626*D626 / 100</f>
        <v>0</v>
      </c>
      <c r="F626">
        <f>IF(F625 &lt; 7, F625 +1,1)</f>
        <v>2</v>
      </c>
      <c r="G626" t="str">
        <f t="shared" si="9"/>
        <v/>
      </c>
    </row>
    <row r="627" spans="1:7">
      <c r="A627" s="1">
        <v>49266</v>
      </c>
      <c r="B627" t="s">
        <v>29</v>
      </c>
      <c r="C627">
        <v>20.100000000000001</v>
      </c>
      <c r="D627">
        <v>0</v>
      </c>
      <c r="E627" s="2">
        <f>C627*D627 / 100</f>
        <v>0</v>
      </c>
      <c r="F627">
        <f>IF(F626 &lt; 7, F626 +1,1)</f>
        <v>3</v>
      </c>
      <c r="G627" t="str">
        <f t="shared" si="9"/>
        <v/>
      </c>
    </row>
    <row r="628" spans="1:7">
      <c r="A628" s="1">
        <v>49267</v>
      </c>
      <c r="B628" t="s">
        <v>24</v>
      </c>
      <c r="C628">
        <v>25.9</v>
      </c>
      <c r="D628">
        <v>8.9</v>
      </c>
      <c r="E628" s="2">
        <f>C628*D628 / 100</f>
        <v>2.3050999999999999</v>
      </c>
      <c r="F628">
        <f>IF(F627 &lt; 7, F627 +1,1)</f>
        <v>4</v>
      </c>
      <c r="G628" t="str">
        <f t="shared" si="9"/>
        <v/>
      </c>
    </row>
    <row r="629" spans="1:7">
      <c r="A629" s="1">
        <v>49268</v>
      </c>
      <c r="B629" t="s">
        <v>36</v>
      </c>
      <c r="C629">
        <v>27.3</v>
      </c>
      <c r="D629">
        <v>15.8</v>
      </c>
      <c r="E629" s="2">
        <f>C629*D629 / 100</f>
        <v>4.3134000000000006</v>
      </c>
      <c r="F629">
        <f>IF(F628 &lt; 7, F628 +1,1)</f>
        <v>5</v>
      </c>
      <c r="G629" t="str">
        <f t="shared" si="9"/>
        <v/>
      </c>
    </row>
    <row r="630" spans="1:7">
      <c r="A630" s="1">
        <v>49269</v>
      </c>
      <c r="B630" t="s">
        <v>30</v>
      </c>
      <c r="C630">
        <v>19.100000000000001</v>
      </c>
      <c r="D630">
        <v>6.3</v>
      </c>
      <c r="E630" s="2">
        <f>C630*D630 / 100</f>
        <v>1.2033</v>
      </c>
      <c r="F630">
        <f>IF(F629 &lt; 7, F629 +1,1)</f>
        <v>6</v>
      </c>
      <c r="G630" t="str">
        <f t="shared" si="9"/>
        <v/>
      </c>
    </row>
    <row r="631" spans="1:7">
      <c r="A631" s="1">
        <v>49270</v>
      </c>
      <c r="B631" t="s">
        <v>21</v>
      </c>
      <c r="C631">
        <v>16.899999999999999</v>
      </c>
      <c r="D631">
        <v>0</v>
      </c>
      <c r="E631" s="2">
        <f>C631*D631 / 100</f>
        <v>0</v>
      </c>
      <c r="F631">
        <f>IF(F630 &lt; 7, F630 +1,1)</f>
        <v>7</v>
      </c>
      <c r="G631">
        <f t="shared" si="9"/>
        <v>150.4</v>
      </c>
    </row>
    <row r="632" spans="1:7">
      <c r="A632" s="1">
        <v>49271</v>
      </c>
      <c r="B632" t="s">
        <v>16</v>
      </c>
      <c r="C632">
        <v>13.4</v>
      </c>
      <c r="D632">
        <v>20.100000000000001</v>
      </c>
      <c r="E632" s="2">
        <f>C632*D632 / 100</f>
        <v>2.6934000000000005</v>
      </c>
      <c r="F632">
        <f>IF(F631 &lt; 7, F631 +1,1)</f>
        <v>1</v>
      </c>
      <c r="G632" t="str">
        <f t="shared" si="9"/>
        <v/>
      </c>
    </row>
    <row r="633" spans="1:7">
      <c r="A633" s="1">
        <v>49272</v>
      </c>
      <c r="B633" t="s">
        <v>13</v>
      </c>
      <c r="C633">
        <v>24.8</v>
      </c>
      <c r="D633">
        <v>0.4</v>
      </c>
      <c r="E633" s="2">
        <f>C633*D633 / 100</f>
        <v>9.920000000000001E-2</v>
      </c>
      <c r="F633">
        <f>IF(F632 &lt; 7, F632 +1,1)</f>
        <v>2</v>
      </c>
      <c r="G633" t="str">
        <f t="shared" si="9"/>
        <v/>
      </c>
    </row>
    <row r="634" spans="1:7">
      <c r="A634" s="1">
        <v>49273</v>
      </c>
      <c r="B634" t="s">
        <v>23</v>
      </c>
      <c r="C634">
        <v>28.4</v>
      </c>
      <c r="D634">
        <v>1.6</v>
      </c>
      <c r="E634" s="2">
        <f>C634*D634 / 100</f>
        <v>0.45439999999999997</v>
      </c>
      <c r="F634">
        <f>IF(F633 &lt; 7, F633 +1,1)</f>
        <v>3</v>
      </c>
      <c r="G634" t="str">
        <f t="shared" si="9"/>
        <v/>
      </c>
    </row>
    <row r="635" spans="1:7">
      <c r="A635" s="1">
        <v>49274</v>
      </c>
      <c r="B635" t="s">
        <v>6</v>
      </c>
      <c r="C635">
        <v>25.3</v>
      </c>
      <c r="D635">
        <v>1.8</v>
      </c>
      <c r="E635" s="2">
        <f>C635*D635 / 100</f>
        <v>0.45539999999999997</v>
      </c>
      <c r="F635">
        <f>IF(F634 &lt; 7, F634 +1,1)</f>
        <v>4</v>
      </c>
      <c r="G635" t="str">
        <f t="shared" si="9"/>
        <v/>
      </c>
    </row>
    <row r="636" spans="1:7">
      <c r="A636" s="1">
        <v>49275</v>
      </c>
      <c r="B636" t="s">
        <v>29</v>
      </c>
      <c r="C636">
        <v>25.9</v>
      </c>
      <c r="D636">
        <v>1.6</v>
      </c>
      <c r="E636" s="2">
        <f>C636*D636 / 100</f>
        <v>0.41439999999999999</v>
      </c>
      <c r="F636">
        <f>IF(F635 &lt; 7, F635 +1,1)</f>
        <v>5</v>
      </c>
      <c r="G636" t="str">
        <f t="shared" si="9"/>
        <v/>
      </c>
    </row>
    <row r="637" spans="1:7">
      <c r="A637" s="1">
        <v>49276</v>
      </c>
      <c r="B637" t="s">
        <v>30</v>
      </c>
      <c r="C637">
        <v>12.2</v>
      </c>
      <c r="D637">
        <v>0.8</v>
      </c>
      <c r="E637" s="2">
        <f>C637*D637 / 100</f>
        <v>9.7599999999999992E-2</v>
      </c>
      <c r="F637">
        <f>IF(F636 &lt; 7, F636 +1,1)</f>
        <v>6</v>
      </c>
      <c r="G637" t="str">
        <f t="shared" si="9"/>
        <v/>
      </c>
    </row>
    <row r="638" spans="1:7">
      <c r="A638" s="1">
        <v>49277</v>
      </c>
      <c r="B638" t="s">
        <v>32</v>
      </c>
      <c r="C638">
        <v>22.8</v>
      </c>
      <c r="D638">
        <v>2.2999999999999998</v>
      </c>
      <c r="E638" s="2">
        <f>C638*D638 / 100</f>
        <v>0.52439999999999998</v>
      </c>
      <c r="F638">
        <f>IF(F637 &lt; 7, F637 +1,1)</f>
        <v>7</v>
      </c>
      <c r="G638">
        <f t="shared" si="9"/>
        <v>152.79999999999998</v>
      </c>
    </row>
    <row r="639" spans="1:7">
      <c r="A639" s="1">
        <v>49278</v>
      </c>
      <c r="B639" t="s">
        <v>36</v>
      </c>
      <c r="C639">
        <v>12.7</v>
      </c>
      <c r="D639">
        <v>0</v>
      </c>
      <c r="E639" s="2">
        <f>C639*D639 / 100</f>
        <v>0</v>
      </c>
      <c r="F639">
        <f>IF(F638 &lt; 7, F638 +1,1)</f>
        <v>1</v>
      </c>
      <c r="G639" t="str">
        <f t="shared" si="9"/>
        <v/>
      </c>
    </row>
    <row r="640" spans="1:7">
      <c r="A640" s="1">
        <v>49279</v>
      </c>
      <c r="B640" t="s">
        <v>12</v>
      </c>
      <c r="C640">
        <v>13</v>
      </c>
      <c r="D640">
        <v>5.0999999999999996</v>
      </c>
      <c r="E640" s="2">
        <f>C640*D640 / 100</f>
        <v>0.66299999999999992</v>
      </c>
      <c r="F640">
        <f>IF(F639 &lt; 7, F639 +1,1)</f>
        <v>2</v>
      </c>
      <c r="G640" t="str">
        <f t="shared" si="9"/>
        <v/>
      </c>
    </row>
    <row r="641" spans="1:7">
      <c r="A641" s="1">
        <v>49280</v>
      </c>
      <c r="B641" t="s">
        <v>21</v>
      </c>
      <c r="C641">
        <v>13.5</v>
      </c>
      <c r="D641">
        <v>4.9000000000000004</v>
      </c>
      <c r="E641" s="2">
        <f>C641*D641 / 100</f>
        <v>0.66150000000000009</v>
      </c>
      <c r="F641">
        <f>IF(F640 &lt; 7, F640 +1,1)</f>
        <v>3</v>
      </c>
      <c r="G641" t="str">
        <f t="shared" si="9"/>
        <v/>
      </c>
    </row>
    <row r="642" spans="1:7">
      <c r="A642" s="1">
        <v>49281</v>
      </c>
      <c r="B642" t="s">
        <v>19</v>
      </c>
      <c r="C642">
        <v>17.8</v>
      </c>
      <c r="D642">
        <v>5</v>
      </c>
      <c r="E642" s="2">
        <f>C642*D642 / 100</f>
        <v>0.89</v>
      </c>
      <c r="F642">
        <f>IF(F641 &lt; 7, F641 +1,1)</f>
        <v>4</v>
      </c>
      <c r="G642" t="str">
        <f t="shared" si="9"/>
        <v/>
      </c>
    </row>
    <row r="643" spans="1:7">
      <c r="A643" s="1">
        <v>49282</v>
      </c>
      <c r="B643" t="s">
        <v>21</v>
      </c>
      <c r="C643">
        <v>21.5</v>
      </c>
      <c r="D643">
        <v>47.1</v>
      </c>
      <c r="E643" s="2">
        <f>C643*D643 / 100</f>
        <v>10.1265</v>
      </c>
      <c r="F643">
        <f>IF(F642 &lt; 7, F642 +1,1)</f>
        <v>5</v>
      </c>
      <c r="G643" t="str">
        <f t="shared" si="9"/>
        <v/>
      </c>
    </row>
    <row r="644" spans="1:7">
      <c r="A644" s="1">
        <v>49283</v>
      </c>
      <c r="B644" t="s">
        <v>22</v>
      </c>
      <c r="C644">
        <v>20.5</v>
      </c>
      <c r="D644">
        <v>0.1</v>
      </c>
      <c r="E644" s="2">
        <f>C644*D644 / 100</f>
        <v>2.0500000000000004E-2</v>
      </c>
      <c r="F644">
        <f>IF(F643 &lt; 7, F643 +1,1)</f>
        <v>6</v>
      </c>
      <c r="G644" t="str">
        <f t="shared" si="9"/>
        <v/>
      </c>
    </row>
    <row r="645" spans="1:7">
      <c r="A645" s="1">
        <v>49284</v>
      </c>
      <c r="B645" t="s">
        <v>19</v>
      </c>
      <c r="C645">
        <v>14.4</v>
      </c>
      <c r="D645">
        <v>0</v>
      </c>
      <c r="E645" s="2">
        <f>C645*D645 / 100</f>
        <v>0</v>
      </c>
      <c r="F645">
        <f>IF(F644 &lt; 7, F644 +1,1)</f>
        <v>7</v>
      </c>
      <c r="G645">
        <f t="shared" si="9"/>
        <v>113.4</v>
      </c>
    </row>
    <row r="646" spans="1:7">
      <c r="A646" s="1">
        <v>49285</v>
      </c>
      <c r="B646" t="s">
        <v>33</v>
      </c>
      <c r="C646">
        <v>12.3</v>
      </c>
      <c r="D646">
        <v>0</v>
      </c>
      <c r="E646" s="2">
        <f>C646*D646 / 100</f>
        <v>0</v>
      </c>
      <c r="F646">
        <f>IF(F645 &lt; 7, F645 +1,1)</f>
        <v>1</v>
      </c>
      <c r="G646" t="str">
        <f t="shared" si="9"/>
        <v/>
      </c>
    </row>
    <row r="647" spans="1:7">
      <c r="A647" s="1">
        <v>49286</v>
      </c>
      <c r="B647" t="s">
        <v>19</v>
      </c>
      <c r="C647">
        <v>26.5</v>
      </c>
      <c r="D647">
        <v>14</v>
      </c>
      <c r="E647" s="2">
        <f>C647*D647 / 100</f>
        <v>3.71</v>
      </c>
      <c r="F647">
        <f>IF(F646 &lt; 7, F646 +1,1)</f>
        <v>2</v>
      </c>
      <c r="G647" t="str">
        <f t="shared" si="9"/>
        <v/>
      </c>
    </row>
    <row r="648" spans="1:7">
      <c r="A648" s="1">
        <v>49287</v>
      </c>
      <c r="B648" t="s">
        <v>19</v>
      </c>
      <c r="C648">
        <v>17.7</v>
      </c>
      <c r="D648">
        <v>0</v>
      </c>
      <c r="E648" s="2">
        <f>C648*D648 / 100</f>
        <v>0</v>
      </c>
      <c r="F648">
        <f>IF(F647 &lt; 7, F647 +1,1)</f>
        <v>3</v>
      </c>
      <c r="G648" t="str">
        <f t="shared" si="9"/>
        <v/>
      </c>
    </row>
    <row r="649" spans="1:7">
      <c r="A649" s="1">
        <v>49288</v>
      </c>
      <c r="B649" t="s">
        <v>12</v>
      </c>
      <c r="C649">
        <v>15.7</v>
      </c>
      <c r="D649">
        <v>1</v>
      </c>
      <c r="E649" s="2">
        <f>C649*D649 / 100</f>
        <v>0.157</v>
      </c>
      <c r="F649">
        <f>IF(F648 &lt; 7, F648 +1,1)</f>
        <v>4</v>
      </c>
      <c r="G649" t="str">
        <f t="shared" ref="G649:G712" si="10">IF(F649=7, SUM(C643:C649), "")</f>
        <v/>
      </c>
    </row>
    <row r="650" spans="1:7">
      <c r="A650" s="1">
        <v>49289</v>
      </c>
      <c r="B650" t="s">
        <v>18</v>
      </c>
      <c r="C650">
        <v>16.2</v>
      </c>
      <c r="D650">
        <v>0</v>
      </c>
      <c r="E650" s="2">
        <f>C650*D650 / 100</f>
        <v>0</v>
      </c>
      <c r="F650">
        <f>IF(F649 &lt; 7, F649 +1,1)</f>
        <v>5</v>
      </c>
      <c r="G650" t="str">
        <f t="shared" si="10"/>
        <v/>
      </c>
    </row>
    <row r="651" spans="1:7">
      <c r="A651" s="1">
        <v>49290</v>
      </c>
      <c r="B651" t="s">
        <v>28</v>
      </c>
      <c r="C651">
        <v>18.600000000000001</v>
      </c>
      <c r="D651">
        <v>1.4</v>
      </c>
      <c r="E651" s="2">
        <f>C651*D651 / 100</f>
        <v>0.26039999999999996</v>
      </c>
      <c r="F651">
        <f>IF(F650 &lt; 7, F650 +1,1)</f>
        <v>6</v>
      </c>
      <c r="G651" t="str">
        <f t="shared" si="10"/>
        <v/>
      </c>
    </row>
    <row r="652" spans="1:7">
      <c r="A652" s="1">
        <v>49291</v>
      </c>
      <c r="B652" t="s">
        <v>29</v>
      </c>
      <c r="C652">
        <v>23.9</v>
      </c>
      <c r="D652">
        <v>4</v>
      </c>
      <c r="E652" s="2">
        <f>C652*D652 / 100</f>
        <v>0.95599999999999996</v>
      </c>
      <c r="F652">
        <f>IF(F651 &lt; 7, F651 +1,1)</f>
        <v>7</v>
      </c>
      <c r="G652">
        <f t="shared" si="10"/>
        <v>130.9</v>
      </c>
    </row>
    <row r="653" spans="1:7">
      <c r="A653" s="1">
        <v>49292</v>
      </c>
      <c r="B653" t="s">
        <v>21</v>
      </c>
      <c r="C653">
        <v>15.8</v>
      </c>
      <c r="D653">
        <v>50.3</v>
      </c>
      <c r="E653" s="2">
        <f>C653*D653 / 100</f>
        <v>7.9474</v>
      </c>
      <c r="F653">
        <f>IF(F652 &lt; 7, F652 +1,1)</f>
        <v>1</v>
      </c>
      <c r="G653" t="str">
        <f t="shared" si="10"/>
        <v/>
      </c>
    </row>
    <row r="654" spans="1:7">
      <c r="A654" s="1">
        <v>49293</v>
      </c>
      <c r="B654" t="s">
        <v>34</v>
      </c>
      <c r="C654">
        <v>26.2</v>
      </c>
      <c r="D654">
        <v>8.5</v>
      </c>
      <c r="E654" s="2">
        <f>C654*D654 / 100</f>
        <v>2.2269999999999999</v>
      </c>
      <c r="F654">
        <f>IF(F653 &lt; 7, F653 +1,1)</f>
        <v>2</v>
      </c>
      <c r="G654" t="str">
        <f t="shared" si="10"/>
        <v/>
      </c>
    </row>
    <row r="655" spans="1:7">
      <c r="A655" s="1">
        <v>49294</v>
      </c>
      <c r="B655" t="s">
        <v>21</v>
      </c>
      <c r="C655">
        <v>23.1</v>
      </c>
      <c r="D655">
        <v>0</v>
      </c>
      <c r="E655" s="2">
        <f>C655*D655 / 100</f>
        <v>0</v>
      </c>
      <c r="F655">
        <f>IF(F654 &lt; 7, F654 +1,1)</f>
        <v>3</v>
      </c>
      <c r="G655" t="str">
        <f t="shared" si="10"/>
        <v/>
      </c>
    </row>
    <row r="656" spans="1:7">
      <c r="A656" s="1">
        <v>49295</v>
      </c>
      <c r="B656" t="s">
        <v>28</v>
      </c>
      <c r="C656">
        <v>10.8</v>
      </c>
      <c r="D656">
        <v>0</v>
      </c>
      <c r="E656" s="2">
        <f>C656*D656 / 100</f>
        <v>0</v>
      </c>
      <c r="F656">
        <f>IF(F655 &lt; 7, F655 +1,1)</f>
        <v>4</v>
      </c>
      <c r="G656" t="str">
        <f t="shared" si="10"/>
        <v/>
      </c>
    </row>
    <row r="657" spans="1:7">
      <c r="A657" s="1">
        <v>49296</v>
      </c>
      <c r="B657" t="s">
        <v>29</v>
      </c>
      <c r="C657">
        <v>21.2</v>
      </c>
      <c r="D657">
        <v>16.100000000000001</v>
      </c>
      <c r="E657" s="2">
        <f>C657*D657 / 100</f>
        <v>3.4131999999999998</v>
      </c>
      <c r="F657">
        <f>IF(F656 &lt; 7, F656 +1,1)</f>
        <v>5</v>
      </c>
      <c r="G657" t="str">
        <f t="shared" si="10"/>
        <v/>
      </c>
    </row>
    <row r="658" spans="1:7">
      <c r="A658" s="1">
        <v>49297</v>
      </c>
      <c r="B658" t="s">
        <v>16</v>
      </c>
      <c r="C658">
        <v>26.3</v>
      </c>
      <c r="D658">
        <v>21.1</v>
      </c>
      <c r="E658" s="2">
        <f>C658*D658 / 100</f>
        <v>5.5493000000000006</v>
      </c>
      <c r="F658">
        <f>IF(F657 &lt; 7, F657 +1,1)</f>
        <v>6</v>
      </c>
      <c r="G658" t="str">
        <f t="shared" si="10"/>
        <v/>
      </c>
    </row>
    <row r="659" spans="1:7">
      <c r="A659" s="1">
        <v>49298</v>
      </c>
      <c r="B659" t="s">
        <v>16</v>
      </c>
      <c r="C659">
        <v>22.8</v>
      </c>
      <c r="D659">
        <v>22.7</v>
      </c>
      <c r="E659" s="2">
        <f>C659*D659 / 100</f>
        <v>5.1755999999999993</v>
      </c>
      <c r="F659">
        <f>IF(F658 &lt; 7, F658 +1,1)</f>
        <v>7</v>
      </c>
      <c r="G659">
        <f t="shared" si="10"/>
        <v>146.19999999999999</v>
      </c>
    </row>
    <row r="660" spans="1:7">
      <c r="A660" s="1">
        <v>49299</v>
      </c>
      <c r="B660" t="s">
        <v>29</v>
      </c>
      <c r="C660">
        <v>24</v>
      </c>
      <c r="D660">
        <v>11.5</v>
      </c>
      <c r="E660" s="2">
        <f>C660*D660 / 100</f>
        <v>2.76</v>
      </c>
      <c r="F660">
        <f>IF(F659 &lt; 7, F659 +1,1)</f>
        <v>1</v>
      </c>
      <c r="G660" t="str">
        <f t="shared" si="10"/>
        <v/>
      </c>
    </row>
    <row r="661" spans="1:7">
      <c r="A661" s="1">
        <v>49300</v>
      </c>
      <c r="B661" t="s">
        <v>11</v>
      </c>
      <c r="C661">
        <v>16.8</v>
      </c>
      <c r="D661">
        <v>2</v>
      </c>
      <c r="E661" s="2">
        <f>C661*D661 / 100</f>
        <v>0.33600000000000002</v>
      </c>
      <c r="F661">
        <f>IF(F660 &lt; 7, F660 +1,1)</f>
        <v>2</v>
      </c>
      <c r="G661" t="str">
        <f t="shared" si="10"/>
        <v/>
      </c>
    </row>
    <row r="662" spans="1:7">
      <c r="A662" s="1">
        <v>49301</v>
      </c>
      <c r="B662" t="s">
        <v>19</v>
      </c>
      <c r="C662">
        <v>12.5</v>
      </c>
      <c r="D662">
        <v>4.7</v>
      </c>
      <c r="E662" s="2">
        <f>C662*D662 / 100</f>
        <v>0.58750000000000002</v>
      </c>
      <c r="F662">
        <f>IF(F661 &lt; 7, F661 +1,1)</f>
        <v>3</v>
      </c>
      <c r="G662" t="str">
        <f t="shared" si="10"/>
        <v/>
      </c>
    </row>
    <row r="663" spans="1:7">
      <c r="A663" s="1">
        <v>49302</v>
      </c>
      <c r="B663" t="s">
        <v>21</v>
      </c>
      <c r="C663">
        <v>15</v>
      </c>
      <c r="D663">
        <v>1.7</v>
      </c>
      <c r="E663" s="2">
        <f>C663*D663 / 100</f>
        <v>0.255</v>
      </c>
      <c r="F663">
        <f>IF(F662 &lt; 7, F662 +1,1)</f>
        <v>4</v>
      </c>
      <c r="G663" t="str">
        <f t="shared" si="10"/>
        <v/>
      </c>
    </row>
    <row r="664" spans="1:7">
      <c r="A664" s="1">
        <v>49303</v>
      </c>
      <c r="B664" t="s">
        <v>29</v>
      </c>
      <c r="C664">
        <v>16.2</v>
      </c>
      <c r="D664">
        <v>0</v>
      </c>
      <c r="E664" s="2">
        <f>C664*D664 / 100</f>
        <v>0</v>
      </c>
      <c r="F664">
        <f>IF(F663 &lt; 7, F663 +1,1)</f>
        <v>5</v>
      </c>
      <c r="G664" t="str">
        <f t="shared" si="10"/>
        <v/>
      </c>
    </row>
    <row r="665" spans="1:7">
      <c r="A665" s="1">
        <v>49304</v>
      </c>
      <c r="B665" t="s">
        <v>16</v>
      </c>
      <c r="C665">
        <v>29.3</v>
      </c>
      <c r="D665">
        <v>0</v>
      </c>
      <c r="E665" s="2">
        <f>C665*D665 / 100</f>
        <v>0</v>
      </c>
      <c r="F665">
        <f>IF(F664 &lt; 7, F664 +1,1)</f>
        <v>6</v>
      </c>
      <c r="G665" t="str">
        <f t="shared" si="10"/>
        <v/>
      </c>
    </row>
    <row r="666" spans="1:7">
      <c r="A666" s="1">
        <v>49305</v>
      </c>
      <c r="B666" t="s">
        <v>27</v>
      </c>
      <c r="C666">
        <v>26.4</v>
      </c>
      <c r="D666">
        <v>0.2</v>
      </c>
      <c r="E666" s="2">
        <f>C666*D666 / 100</f>
        <v>5.28E-2</v>
      </c>
      <c r="F666">
        <f>IF(F665 &lt; 7, F665 +1,1)</f>
        <v>7</v>
      </c>
      <c r="G666">
        <f t="shared" si="10"/>
        <v>140.19999999999999</v>
      </c>
    </row>
    <row r="667" spans="1:7">
      <c r="A667" s="1">
        <v>49306</v>
      </c>
      <c r="B667" t="s">
        <v>29</v>
      </c>
      <c r="C667">
        <v>23</v>
      </c>
      <c r="D667">
        <v>0</v>
      </c>
      <c r="E667" s="2">
        <f>C667*D667 / 100</f>
        <v>0</v>
      </c>
      <c r="F667">
        <f>IF(F666 &lt; 7, F666 +1,1)</f>
        <v>1</v>
      </c>
      <c r="G667" t="str">
        <f t="shared" si="10"/>
        <v/>
      </c>
    </row>
    <row r="668" spans="1:7">
      <c r="A668" s="1">
        <v>49307</v>
      </c>
      <c r="B668" t="s">
        <v>9</v>
      </c>
      <c r="C668">
        <v>25.4</v>
      </c>
      <c r="D668">
        <v>1.2</v>
      </c>
      <c r="E668" s="2">
        <f>C668*D668 / 100</f>
        <v>0.30479999999999996</v>
      </c>
      <c r="F668">
        <f>IF(F667 &lt; 7, F667 +1,1)</f>
        <v>2</v>
      </c>
      <c r="G668" t="str">
        <f t="shared" si="10"/>
        <v/>
      </c>
    </row>
    <row r="669" spans="1:7">
      <c r="A669" s="1">
        <v>49308</v>
      </c>
      <c r="B669" t="s">
        <v>21</v>
      </c>
      <c r="C669">
        <v>24.5</v>
      </c>
      <c r="D669">
        <v>22.5</v>
      </c>
      <c r="E669" s="2">
        <f>C669*D669 / 100</f>
        <v>5.5125000000000002</v>
      </c>
      <c r="F669">
        <f>IF(F668 &lt; 7, F668 +1,1)</f>
        <v>3</v>
      </c>
      <c r="G669" t="str">
        <f t="shared" si="10"/>
        <v/>
      </c>
    </row>
    <row r="670" spans="1:7">
      <c r="A670" s="1">
        <v>49309</v>
      </c>
      <c r="B670" t="s">
        <v>36</v>
      </c>
      <c r="C670">
        <v>19</v>
      </c>
      <c r="D670">
        <v>18.899999999999999</v>
      </c>
      <c r="E670" s="2">
        <f>C670*D670 / 100</f>
        <v>3.5909999999999997</v>
      </c>
      <c r="F670">
        <f>IF(F669 &lt; 7, F669 +1,1)</f>
        <v>4</v>
      </c>
      <c r="G670" t="str">
        <f t="shared" si="10"/>
        <v/>
      </c>
    </row>
    <row r="671" spans="1:7">
      <c r="A671" s="1">
        <v>49310</v>
      </c>
      <c r="B671" t="s">
        <v>36</v>
      </c>
      <c r="C671">
        <v>10</v>
      </c>
      <c r="D671">
        <v>7.6</v>
      </c>
      <c r="E671" s="2">
        <f>C671*D671 / 100</f>
        <v>0.76</v>
      </c>
      <c r="F671">
        <f>IF(F670 &lt; 7, F670 +1,1)</f>
        <v>5</v>
      </c>
      <c r="G671" t="str">
        <f t="shared" si="10"/>
        <v/>
      </c>
    </row>
    <row r="672" spans="1:7">
      <c r="A672" s="1">
        <v>49311</v>
      </c>
      <c r="B672" t="s">
        <v>21</v>
      </c>
      <c r="C672">
        <v>10.4</v>
      </c>
      <c r="D672">
        <v>20.6</v>
      </c>
      <c r="E672" s="2">
        <f>C672*D672 / 100</f>
        <v>2.1424000000000003</v>
      </c>
      <c r="F672">
        <f>IF(F671 &lt; 7, F671 +1,1)</f>
        <v>6</v>
      </c>
      <c r="G672" t="str">
        <f t="shared" si="10"/>
        <v/>
      </c>
    </row>
    <row r="673" spans="1:7">
      <c r="A673" s="1">
        <v>49312</v>
      </c>
      <c r="B673" t="s">
        <v>28</v>
      </c>
      <c r="C673">
        <v>10.5</v>
      </c>
      <c r="D673">
        <v>0</v>
      </c>
      <c r="E673" s="2">
        <f>C673*D673 / 100</f>
        <v>0</v>
      </c>
      <c r="F673">
        <f>IF(F672 &lt; 7, F672 +1,1)</f>
        <v>7</v>
      </c>
      <c r="G673">
        <f t="shared" si="10"/>
        <v>122.80000000000001</v>
      </c>
    </row>
    <row r="674" spans="1:7">
      <c r="A674" s="1">
        <v>49313</v>
      </c>
      <c r="B674" t="s">
        <v>30</v>
      </c>
      <c r="C674">
        <v>12.1</v>
      </c>
      <c r="D674">
        <v>8.8000000000000007</v>
      </c>
      <c r="E674" s="2">
        <f>C674*D674 / 100</f>
        <v>1.0648</v>
      </c>
      <c r="F674">
        <f>IF(F673 &lt; 7, F673 +1,1)</f>
        <v>1</v>
      </c>
      <c r="G674" t="str">
        <f t="shared" si="10"/>
        <v/>
      </c>
    </row>
    <row r="675" spans="1:7">
      <c r="A675" s="1">
        <v>49314</v>
      </c>
      <c r="B675" t="s">
        <v>21</v>
      </c>
      <c r="C675">
        <v>20.5</v>
      </c>
      <c r="D675">
        <v>0</v>
      </c>
      <c r="E675" s="2">
        <f>C675*D675 / 100</f>
        <v>0</v>
      </c>
      <c r="F675">
        <f>IF(F674 &lt; 7, F674 +1,1)</f>
        <v>2</v>
      </c>
      <c r="G675" t="str">
        <f t="shared" si="10"/>
        <v/>
      </c>
    </row>
    <row r="676" spans="1:7">
      <c r="A676" s="1">
        <v>49315</v>
      </c>
      <c r="B676" t="s">
        <v>19</v>
      </c>
      <c r="C676">
        <v>13.1</v>
      </c>
      <c r="D676">
        <v>0</v>
      </c>
      <c r="E676" s="2">
        <f>C676*D676 / 100</f>
        <v>0</v>
      </c>
      <c r="F676">
        <f>IF(F675 &lt; 7, F675 +1,1)</f>
        <v>3</v>
      </c>
      <c r="G676" t="str">
        <f t="shared" si="10"/>
        <v/>
      </c>
    </row>
    <row r="677" spans="1:7">
      <c r="A677" s="1">
        <v>49316</v>
      </c>
      <c r="B677" t="s">
        <v>12</v>
      </c>
      <c r="C677">
        <v>29.8</v>
      </c>
      <c r="D677">
        <v>1.1000000000000001</v>
      </c>
      <c r="E677" s="2">
        <f>C677*D677 / 100</f>
        <v>0.32780000000000004</v>
      </c>
      <c r="F677">
        <f>IF(F676 &lt; 7, F676 +1,1)</f>
        <v>4</v>
      </c>
      <c r="G677" t="str">
        <f t="shared" si="10"/>
        <v/>
      </c>
    </row>
    <row r="678" spans="1:7">
      <c r="A678" s="1">
        <v>49317</v>
      </c>
      <c r="B678" t="s">
        <v>33</v>
      </c>
      <c r="C678">
        <v>17.100000000000001</v>
      </c>
      <c r="D678">
        <v>5.5</v>
      </c>
      <c r="E678" s="2">
        <f>C678*D678 / 100</f>
        <v>0.94050000000000011</v>
      </c>
      <c r="F678">
        <f>IF(F677 &lt; 7, F677 +1,1)</f>
        <v>5</v>
      </c>
      <c r="G678" t="str">
        <f t="shared" si="10"/>
        <v/>
      </c>
    </row>
    <row r="679" spans="1:7">
      <c r="A679" s="1">
        <v>49318</v>
      </c>
      <c r="B679" t="s">
        <v>11</v>
      </c>
      <c r="C679">
        <v>29.1</v>
      </c>
      <c r="D679">
        <v>0.4</v>
      </c>
      <c r="E679" s="2">
        <f>C679*D679 / 100</f>
        <v>0.1164</v>
      </c>
      <c r="F679">
        <f>IF(F678 &lt; 7, F678 +1,1)</f>
        <v>6</v>
      </c>
      <c r="G679" t="str">
        <f t="shared" si="10"/>
        <v/>
      </c>
    </row>
    <row r="680" spans="1:7">
      <c r="A680" s="1">
        <v>49319</v>
      </c>
      <c r="B680" t="s">
        <v>29</v>
      </c>
      <c r="C680">
        <v>10.9</v>
      </c>
      <c r="D680">
        <v>0</v>
      </c>
      <c r="E680" s="2">
        <f>C680*D680 / 100</f>
        <v>0</v>
      </c>
      <c r="F680">
        <f>IF(F679 &lt; 7, F679 +1,1)</f>
        <v>7</v>
      </c>
      <c r="G680">
        <f t="shared" si="10"/>
        <v>132.6</v>
      </c>
    </row>
    <row r="681" spans="1:7">
      <c r="A681" s="1">
        <v>49320</v>
      </c>
      <c r="B681" t="s">
        <v>27</v>
      </c>
      <c r="C681">
        <v>27.4</v>
      </c>
      <c r="D681">
        <v>0.3</v>
      </c>
      <c r="E681" s="2">
        <f>C681*D681 / 100</f>
        <v>8.2199999999999995E-2</v>
      </c>
      <c r="F681">
        <f>IF(F680 &lt; 7, F680 +1,1)</f>
        <v>1</v>
      </c>
      <c r="G681" t="str">
        <f t="shared" si="10"/>
        <v/>
      </c>
    </row>
    <row r="682" spans="1:7">
      <c r="A682" s="1">
        <v>49321</v>
      </c>
      <c r="B682" t="s">
        <v>36</v>
      </c>
      <c r="C682">
        <v>16.3</v>
      </c>
      <c r="D682">
        <v>9.8000000000000007</v>
      </c>
      <c r="E682" s="2">
        <f>C682*D682 / 100</f>
        <v>1.5974000000000002</v>
      </c>
      <c r="F682">
        <f>IF(F681 &lt; 7, F681 +1,1)</f>
        <v>2</v>
      </c>
      <c r="G682" t="str">
        <f t="shared" si="10"/>
        <v/>
      </c>
    </row>
    <row r="683" spans="1:7">
      <c r="A683" s="1">
        <v>49322</v>
      </c>
      <c r="B683" t="s">
        <v>16</v>
      </c>
      <c r="C683">
        <v>14.7</v>
      </c>
      <c r="D683">
        <v>0</v>
      </c>
      <c r="E683" s="2">
        <f>C683*D683 / 100</f>
        <v>0</v>
      </c>
      <c r="F683">
        <f>IF(F682 &lt; 7, F682 +1,1)</f>
        <v>3</v>
      </c>
      <c r="G683" t="str">
        <f t="shared" si="10"/>
        <v/>
      </c>
    </row>
    <row r="684" spans="1:7">
      <c r="A684" s="1">
        <v>49323</v>
      </c>
      <c r="B684" t="s">
        <v>34</v>
      </c>
      <c r="C684">
        <v>17.2</v>
      </c>
      <c r="D684">
        <v>2</v>
      </c>
      <c r="E684" s="2">
        <f>C684*D684 / 100</f>
        <v>0.34399999999999997</v>
      </c>
      <c r="F684">
        <f>IF(F683 &lt; 7, F683 +1,1)</f>
        <v>4</v>
      </c>
      <c r="G684" t="str">
        <f t="shared" si="10"/>
        <v/>
      </c>
    </row>
    <row r="685" spans="1:7">
      <c r="A685" s="1">
        <v>49324</v>
      </c>
      <c r="B685" t="s">
        <v>33</v>
      </c>
      <c r="C685">
        <v>24.2</v>
      </c>
      <c r="D685">
        <v>9.9</v>
      </c>
      <c r="E685" s="2">
        <f>C685*D685 / 100</f>
        <v>2.3957999999999999</v>
      </c>
      <c r="F685">
        <f>IF(F684 &lt; 7, F684 +1,1)</f>
        <v>5</v>
      </c>
      <c r="G685" t="str">
        <f t="shared" si="10"/>
        <v/>
      </c>
    </row>
    <row r="686" spans="1:7">
      <c r="A686" s="1">
        <v>49325</v>
      </c>
      <c r="B686" t="s">
        <v>19</v>
      </c>
      <c r="C686">
        <v>22.3</v>
      </c>
      <c r="D686">
        <v>0</v>
      </c>
      <c r="E686" s="2">
        <f>C686*D686 / 100</f>
        <v>0</v>
      </c>
      <c r="F686">
        <f>IF(F685 &lt; 7, F685 +1,1)</f>
        <v>6</v>
      </c>
      <c r="G686" t="str">
        <f t="shared" si="10"/>
        <v/>
      </c>
    </row>
    <row r="687" spans="1:7">
      <c r="A687" s="1">
        <v>49326</v>
      </c>
      <c r="B687" t="s">
        <v>25</v>
      </c>
      <c r="C687">
        <v>26.7</v>
      </c>
      <c r="D687">
        <v>0.6</v>
      </c>
      <c r="E687" s="2">
        <f>C687*D687 / 100</f>
        <v>0.16020000000000001</v>
      </c>
      <c r="F687">
        <f>IF(F686 &lt; 7, F686 +1,1)</f>
        <v>7</v>
      </c>
      <c r="G687">
        <f t="shared" si="10"/>
        <v>148.80000000000001</v>
      </c>
    </row>
    <row r="688" spans="1:7">
      <c r="A688" s="1">
        <v>49327</v>
      </c>
      <c r="B688" t="s">
        <v>34</v>
      </c>
      <c r="C688">
        <v>10.9</v>
      </c>
      <c r="D688">
        <v>3.8</v>
      </c>
      <c r="E688" s="2">
        <f>C688*D688 / 100</f>
        <v>0.41420000000000001</v>
      </c>
      <c r="F688">
        <f>IF(F687 &lt; 7, F687 +1,1)</f>
        <v>1</v>
      </c>
      <c r="G688" t="str">
        <f t="shared" si="10"/>
        <v/>
      </c>
    </row>
    <row r="689" spans="1:7">
      <c r="A689" s="1">
        <v>49328</v>
      </c>
      <c r="B689" t="s">
        <v>28</v>
      </c>
      <c r="C689">
        <v>23.7</v>
      </c>
      <c r="D689">
        <v>0</v>
      </c>
      <c r="E689" s="2">
        <f>C689*D689 / 100</f>
        <v>0</v>
      </c>
      <c r="F689">
        <f>IF(F688 &lt; 7, F688 +1,1)</f>
        <v>2</v>
      </c>
      <c r="G689" t="str">
        <f t="shared" si="10"/>
        <v/>
      </c>
    </row>
    <row r="690" spans="1:7">
      <c r="A690" s="1">
        <v>49329</v>
      </c>
      <c r="B690" t="s">
        <v>21</v>
      </c>
      <c r="C690">
        <v>16</v>
      </c>
      <c r="D690">
        <v>22.3</v>
      </c>
      <c r="E690" s="2">
        <f>C690*D690 / 100</f>
        <v>3.5680000000000001</v>
      </c>
      <c r="F690">
        <f>IF(F689 &lt; 7, F689 +1,1)</f>
        <v>3</v>
      </c>
      <c r="G690" t="str">
        <f t="shared" si="10"/>
        <v/>
      </c>
    </row>
    <row r="691" spans="1:7">
      <c r="A691" s="1">
        <v>49330</v>
      </c>
      <c r="B691" t="s">
        <v>21</v>
      </c>
      <c r="C691">
        <v>19.399999999999999</v>
      </c>
      <c r="D691">
        <v>41.6</v>
      </c>
      <c r="E691" s="2">
        <f>C691*D691 / 100</f>
        <v>8.0703999999999994</v>
      </c>
      <c r="F691">
        <f>IF(F690 &lt; 7, F690 +1,1)</f>
        <v>4</v>
      </c>
      <c r="G691" t="str">
        <f t="shared" si="10"/>
        <v/>
      </c>
    </row>
    <row r="692" spans="1:7">
      <c r="A692" s="1">
        <v>49331</v>
      </c>
      <c r="B692" t="s">
        <v>9</v>
      </c>
      <c r="C692">
        <v>26.7</v>
      </c>
      <c r="D692">
        <v>10</v>
      </c>
      <c r="E692" s="2">
        <f>C692*D692 / 100</f>
        <v>2.67</v>
      </c>
      <c r="F692">
        <f>IF(F691 &lt; 7, F691 +1,1)</f>
        <v>5</v>
      </c>
      <c r="G692" t="str">
        <f t="shared" si="10"/>
        <v/>
      </c>
    </row>
    <row r="693" spans="1:7">
      <c r="A693" s="1">
        <v>49332</v>
      </c>
      <c r="B693" t="s">
        <v>36</v>
      </c>
      <c r="C693">
        <v>20.8</v>
      </c>
      <c r="D693">
        <v>0</v>
      </c>
      <c r="E693" s="2">
        <f>C693*D693 / 100</f>
        <v>0</v>
      </c>
      <c r="F693">
        <f>IF(F692 &lt; 7, F692 +1,1)</f>
        <v>6</v>
      </c>
      <c r="G693" t="str">
        <f t="shared" si="10"/>
        <v/>
      </c>
    </row>
    <row r="694" spans="1:7">
      <c r="A694" s="1">
        <v>49333</v>
      </c>
      <c r="B694" t="s">
        <v>21</v>
      </c>
      <c r="C694">
        <v>25.6</v>
      </c>
      <c r="D694">
        <v>0</v>
      </c>
      <c r="E694" s="2">
        <f>C694*D694 / 100</f>
        <v>0</v>
      </c>
      <c r="F694">
        <f>IF(F693 &lt; 7, F693 +1,1)</f>
        <v>7</v>
      </c>
      <c r="G694">
        <f t="shared" si="10"/>
        <v>143.1</v>
      </c>
    </row>
    <row r="695" spans="1:7">
      <c r="A695" s="1">
        <v>49334</v>
      </c>
      <c r="B695" t="s">
        <v>29</v>
      </c>
      <c r="C695">
        <v>18.3</v>
      </c>
      <c r="D695">
        <v>0.5</v>
      </c>
      <c r="E695" s="2">
        <f>C695*D695 / 100</f>
        <v>9.1499999999999998E-2</v>
      </c>
      <c r="F695">
        <f>IF(F694 &lt; 7, F694 +1,1)</f>
        <v>1</v>
      </c>
      <c r="G695" t="str">
        <f t="shared" si="10"/>
        <v/>
      </c>
    </row>
    <row r="696" spans="1:7">
      <c r="A696" s="1">
        <v>49335</v>
      </c>
      <c r="B696" t="s">
        <v>26</v>
      </c>
      <c r="C696">
        <v>27.4</v>
      </c>
      <c r="D696">
        <v>4.2</v>
      </c>
      <c r="E696" s="2">
        <f>C696*D696 / 100</f>
        <v>1.1508</v>
      </c>
      <c r="F696">
        <f>IF(F695 &lt; 7, F695 +1,1)</f>
        <v>2</v>
      </c>
      <c r="G696" t="str">
        <f t="shared" si="10"/>
        <v/>
      </c>
    </row>
    <row r="697" spans="1:7">
      <c r="A697" s="1">
        <v>49336</v>
      </c>
      <c r="B697" t="s">
        <v>6</v>
      </c>
      <c r="C697">
        <v>16.100000000000001</v>
      </c>
      <c r="D697">
        <v>3.4</v>
      </c>
      <c r="E697" s="2">
        <f>C697*D697 / 100</f>
        <v>0.5474</v>
      </c>
      <c r="F697">
        <f>IF(F696 &lt; 7, F696 +1,1)</f>
        <v>3</v>
      </c>
      <c r="G697" t="str">
        <f t="shared" si="10"/>
        <v/>
      </c>
    </row>
    <row r="698" spans="1:7">
      <c r="A698" s="1">
        <v>49337</v>
      </c>
      <c r="B698" t="s">
        <v>11</v>
      </c>
      <c r="C698">
        <v>27.5</v>
      </c>
      <c r="D698">
        <v>8</v>
      </c>
      <c r="E698" s="2">
        <f>C698*D698 / 100</f>
        <v>2.2000000000000002</v>
      </c>
      <c r="F698">
        <f>IF(F697 &lt; 7, F697 +1,1)</f>
        <v>4</v>
      </c>
      <c r="G698" t="str">
        <f t="shared" si="10"/>
        <v/>
      </c>
    </row>
    <row r="699" spans="1:7">
      <c r="A699" s="1">
        <v>49338</v>
      </c>
      <c r="B699" t="s">
        <v>26</v>
      </c>
      <c r="C699">
        <v>28.4</v>
      </c>
      <c r="D699">
        <v>10.199999999999999</v>
      </c>
      <c r="E699" s="2">
        <f>C699*D699 / 100</f>
        <v>2.8967999999999994</v>
      </c>
      <c r="F699">
        <f>IF(F698 &lt; 7, F698 +1,1)</f>
        <v>5</v>
      </c>
      <c r="G699" t="str">
        <f t="shared" si="10"/>
        <v/>
      </c>
    </row>
    <row r="700" spans="1:7">
      <c r="A700" s="1">
        <v>49339</v>
      </c>
      <c r="B700" t="s">
        <v>19</v>
      </c>
      <c r="C700">
        <v>16.100000000000001</v>
      </c>
      <c r="D700">
        <v>4</v>
      </c>
      <c r="E700" s="2">
        <f>C700*D700 / 100</f>
        <v>0.64400000000000002</v>
      </c>
      <c r="F700">
        <f>IF(F699 &lt; 7, F699 +1,1)</f>
        <v>6</v>
      </c>
      <c r="G700" t="str">
        <f t="shared" si="10"/>
        <v/>
      </c>
    </row>
    <row r="701" spans="1:7">
      <c r="A701" s="1">
        <v>49340</v>
      </c>
      <c r="B701" t="s">
        <v>6</v>
      </c>
      <c r="C701">
        <v>28.4</v>
      </c>
      <c r="D701">
        <v>2.6</v>
      </c>
      <c r="E701" s="2">
        <f>C701*D701 / 100</f>
        <v>0.73840000000000006</v>
      </c>
      <c r="F701">
        <f>IF(F700 &lt; 7, F700 +1,1)</f>
        <v>7</v>
      </c>
      <c r="G701">
        <f t="shared" si="10"/>
        <v>162.20000000000002</v>
      </c>
    </row>
    <row r="702" spans="1:7">
      <c r="A702" s="1">
        <v>49341</v>
      </c>
      <c r="B702" t="s">
        <v>11</v>
      </c>
      <c r="C702">
        <v>29.3</v>
      </c>
      <c r="D702">
        <v>0</v>
      </c>
      <c r="E702" s="2">
        <f>C702*D702 / 100</f>
        <v>0</v>
      </c>
      <c r="F702">
        <f>IF(F701 &lt; 7, F701 +1,1)</f>
        <v>1</v>
      </c>
      <c r="G702" t="str">
        <f t="shared" si="10"/>
        <v/>
      </c>
    </row>
    <row r="703" spans="1:7">
      <c r="A703" s="1">
        <v>49342</v>
      </c>
      <c r="B703" t="s">
        <v>19</v>
      </c>
      <c r="C703">
        <v>19.7</v>
      </c>
      <c r="D703">
        <v>16.2</v>
      </c>
      <c r="E703" s="2">
        <f>C703*D703 / 100</f>
        <v>3.1913999999999998</v>
      </c>
      <c r="F703">
        <f>IF(F702 &lt; 7, F702 +1,1)</f>
        <v>2</v>
      </c>
      <c r="G703" t="str">
        <f t="shared" si="10"/>
        <v/>
      </c>
    </row>
    <row r="704" spans="1:7">
      <c r="A704" s="1">
        <v>49343</v>
      </c>
      <c r="B704" t="s">
        <v>20</v>
      </c>
      <c r="C704">
        <v>11.5</v>
      </c>
      <c r="D704">
        <v>0.3</v>
      </c>
      <c r="E704" s="2">
        <f>C704*D704 / 100</f>
        <v>3.4499999999999996E-2</v>
      </c>
      <c r="F704">
        <f>IF(F703 &lt; 7, F703 +1,1)</f>
        <v>3</v>
      </c>
      <c r="G704" t="str">
        <f t="shared" si="10"/>
        <v/>
      </c>
    </row>
    <row r="705" spans="1:7">
      <c r="A705" s="1">
        <v>49344</v>
      </c>
      <c r="B705" t="s">
        <v>36</v>
      </c>
      <c r="C705">
        <v>19.5</v>
      </c>
      <c r="D705">
        <v>0</v>
      </c>
      <c r="E705" s="2">
        <f>C705*D705 / 100</f>
        <v>0</v>
      </c>
      <c r="F705">
        <f>IF(F704 &lt; 7, F704 +1,1)</f>
        <v>4</v>
      </c>
      <c r="G705" t="str">
        <f t="shared" si="10"/>
        <v/>
      </c>
    </row>
    <row r="706" spans="1:7">
      <c r="A706" s="1">
        <v>49345</v>
      </c>
      <c r="B706" t="s">
        <v>18</v>
      </c>
      <c r="C706">
        <v>22.7</v>
      </c>
      <c r="D706">
        <v>0.7</v>
      </c>
      <c r="E706" s="2">
        <f>C706*D706 / 100</f>
        <v>0.15889999999999999</v>
      </c>
      <c r="F706">
        <f>IF(F705 &lt; 7, F705 +1,1)</f>
        <v>5</v>
      </c>
      <c r="G706" t="str">
        <f t="shared" si="10"/>
        <v/>
      </c>
    </row>
    <row r="707" spans="1:7">
      <c r="A707" s="1">
        <v>49346</v>
      </c>
      <c r="B707" t="s">
        <v>16</v>
      </c>
      <c r="C707">
        <v>19.7</v>
      </c>
      <c r="D707">
        <v>7.3</v>
      </c>
      <c r="E707" s="2">
        <f>C707*D707 / 100</f>
        <v>1.4380999999999999</v>
      </c>
      <c r="F707">
        <f>IF(F706 &lt; 7, F706 +1,1)</f>
        <v>6</v>
      </c>
      <c r="G707" t="str">
        <f t="shared" si="10"/>
        <v/>
      </c>
    </row>
    <row r="708" spans="1:7">
      <c r="A708" s="1">
        <v>49347</v>
      </c>
      <c r="B708" t="s">
        <v>12</v>
      </c>
      <c r="C708">
        <v>19.399999999999999</v>
      </c>
      <c r="D708">
        <v>0.4</v>
      </c>
      <c r="E708" s="2">
        <f>C708*D708 / 100</f>
        <v>7.7600000000000002E-2</v>
      </c>
      <c r="F708">
        <f>IF(F707 &lt; 7, F707 +1,1)</f>
        <v>7</v>
      </c>
      <c r="G708">
        <f t="shared" si="10"/>
        <v>141.80000000000001</v>
      </c>
    </row>
    <row r="709" spans="1:7">
      <c r="A709" s="1">
        <v>49348</v>
      </c>
      <c r="B709" t="s">
        <v>6</v>
      </c>
      <c r="C709">
        <v>13.8</v>
      </c>
      <c r="D709">
        <v>1.1000000000000001</v>
      </c>
      <c r="E709" s="2">
        <f>C709*D709 / 100</f>
        <v>0.15180000000000002</v>
      </c>
      <c r="F709">
        <f>IF(F708 &lt; 7, F708 +1,1)</f>
        <v>1</v>
      </c>
      <c r="G709" t="str">
        <f t="shared" si="10"/>
        <v/>
      </c>
    </row>
    <row r="710" spans="1:7">
      <c r="A710" s="1">
        <v>49349</v>
      </c>
      <c r="B710" t="s">
        <v>19</v>
      </c>
      <c r="C710">
        <v>19.600000000000001</v>
      </c>
      <c r="D710">
        <v>2.2999999999999998</v>
      </c>
      <c r="E710" s="2">
        <f>C710*D710 / 100</f>
        <v>0.45079999999999998</v>
      </c>
      <c r="F710">
        <f>IF(F709 &lt; 7, F709 +1,1)</f>
        <v>2</v>
      </c>
      <c r="G710" t="str">
        <f t="shared" si="10"/>
        <v/>
      </c>
    </row>
    <row r="711" spans="1:7">
      <c r="A711" s="1">
        <v>49350</v>
      </c>
      <c r="B711" t="s">
        <v>36</v>
      </c>
      <c r="C711">
        <v>22.6</v>
      </c>
      <c r="D711">
        <v>13.3</v>
      </c>
      <c r="E711" s="2">
        <f>C711*D711 / 100</f>
        <v>3.0058000000000002</v>
      </c>
      <c r="F711">
        <f>IF(F710 &lt; 7, F710 +1,1)</f>
        <v>3</v>
      </c>
      <c r="G711" t="str">
        <f t="shared" si="10"/>
        <v/>
      </c>
    </row>
    <row r="712" spans="1:7">
      <c r="A712" s="1">
        <v>49351</v>
      </c>
      <c r="B712" t="s">
        <v>30</v>
      </c>
      <c r="C712">
        <v>18.2</v>
      </c>
      <c r="D712">
        <v>7.6</v>
      </c>
      <c r="E712" s="2">
        <f>C712*D712 / 100</f>
        <v>1.3832</v>
      </c>
      <c r="F712">
        <f>IF(F711 &lt; 7, F711 +1,1)</f>
        <v>4</v>
      </c>
      <c r="G712" t="str">
        <f t="shared" si="10"/>
        <v/>
      </c>
    </row>
    <row r="713" spans="1:7">
      <c r="A713" s="1">
        <v>49352</v>
      </c>
      <c r="B713" t="s">
        <v>36</v>
      </c>
      <c r="C713">
        <v>27.3</v>
      </c>
      <c r="D713">
        <v>38.4</v>
      </c>
      <c r="E713" s="2">
        <f>C713*D713 / 100</f>
        <v>10.4832</v>
      </c>
      <c r="F713">
        <f>IF(F712 &lt; 7, F712 +1,1)</f>
        <v>5</v>
      </c>
      <c r="G713" t="str">
        <f t="shared" ref="G713:G776" si="11">IF(F713=7, SUM(C707:C713), "")</f>
        <v/>
      </c>
    </row>
    <row r="714" spans="1:7">
      <c r="A714" s="1">
        <v>49353</v>
      </c>
      <c r="B714" t="s">
        <v>36</v>
      </c>
      <c r="C714">
        <v>14.7</v>
      </c>
      <c r="D714">
        <v>31.8</v>
      </c>
      <c r="E714" s="2">
        <f>C714*D714 / 100</f>
        <v>4.6745999999999999</v>
      </c>
      <c r="F714">
        <f>IF(F713 &lt; 7, F713 +1,1)</f>
        <v>6</v>
      </c>
      <c r="G714" t="str">
        <f t="shared" si="11"/>
        <v/>
      </c>
    </row>
    <row r="715" spans="1:7">
      <c r="A715" s="1">
        <v>49354</v>
      </c>
      <c r="B715" t="s">
        <v>24</v>
      </c>
      <c r="C715">
        <v>20.6</v>
      </c>
      <c r="D715">
        <v>5.9</v>
      </c>
      <c r="E715" s="2">
        <f>C715*D715 / 100</f>
        <v>1.2154000000000003</v>
      </c>
      <c r="F715">
        <f>IF(F714 &lt; 7, F714 +1,1)</f>
        <v>7</v>
      </c>
      <c r="G715">
        <f t="shared" si="11"/>
        <v>136.80000000000001</v>
      </c>
    </row>
    <row r="716" spans="1:7">
      <c r="A716" s="1">
        <v>49355</v>
      </c>
      <c r="B716" t="s">
        <v>21</v>
      </c>
      <c r="C716">
        <v>12.6</v>
      </c>
      <c r="D716">
        <v>14.4</v>
      </c>
      <c r="E716" s="2">
        <f>C716*D716 / 100</f>
        <v>1.8144</v>
      </c>
      <c r="F716">
        <f>IF(F715 &lt; 7, F715 +1,1)</f>
        <v>1</v>
      </c>
      <c r="G716" t="str">
        <f t="shared" si="11"/>
        <v/>
      </c>
    </row>
    <row r="717" spans="1:7">
      <c r="A717" s="1">
        <v>49356</v>
      </c>
      <c r="B717" t="s">
        <v>9</v>
      </c>
      <c r="C717">
        <v>14.5</v>
      </c>
      <c r="D717">
        <v>0</v>
      </c>
      <c r="E717" s="2">
        <f>C717*D717 / 100</f>
        <v>0</v>
      </c>
      <c r="F717">
        <f>IF(F716 &lt; 7, F716 +1,1)</f>
        <v>2</v>
      </c>
      <c r="G717" t="str">
        <f t="shared" si="11"/>
        <v/>
      </c>
    </row>
    <row r="718" spans="1:7">
      <c r="A718" s="1">
        <v>49357</v>
      </c>
      <c r="B718" t="s">
        <v>21</v>
      </c>
      <c r="C718">
        <v>24.7</v>
      </c>
      <c r="D718">
        <v>36</v>
      </c>
      <c r="E718" s="2">
        <f>C718*D718 / 100</f>
        <v>8.8919999999999995</v>
      </c>
      <c r="F718">
        <f>IF(F717 &lt; 7, F717 +1,1)</f>
        <v>3</v>
      </c>
      <c r="G718" t="str">
        <f t="shared" si="11"/>
        <v/>
      </c>
    </row>
    <row r="719" spans="1:7">
      <c r="A719" s="1">
        <v>49358</v>
      </c>
      <c r="B719" t="s">
        <v>36</v>
      </c>
      <c r="C719">
        <v>17.899999999999999</v>
      </c>
      <c r="D719">
        <v>24.9</v>
      </c>
      <c r="E719" s="2">
        <f>C719*D719 / 100</f>
        <v>4.4570999999999996</v>
      </c>
      <c r="F719">
        <f>IF(F718 &lt; 7, F718 +1,1)</f>
        <v>4</v>
      </c>
      <c r="G719" t="str">
        <f t="shared" si="11"/>
        <v/>
      </c>
    </row>
    <row r="720" spans="1:7">
      <c r="A720" s="1">
        <v>49359</v>
      </c>
      <c r="B720" t="s">
        <v>11</v>
      </c>
      <c r="C720">
        <v>20.2</v>
      </c>
      <c r="D720">
        <v>2.9</v>
      </c>
      <c r="E720" s="2">
        <f>C720*D720 / 100</f>
        <v>0.58579999999999999</v>
      </c>
      <c r="F720">
        <f>IF(F719 &lt; 7, F719 +1,1)</f>
        <v>5</v>
      </c>
      <c r="G720" t="str">
        <f t="shared" si="11"/>
        <v/>
      </c>
    </row>
    <row r="721" spans="1:7">
      <c r="A721" s="1">
        <v>49360</v>
      </c>
      <c r="B721" t="s">
        <v>22</v>
      </c>
      <c r="C721">
        <v>13.4</v>
      </c>
      <c r="D721">
        <v>1.7</v>
      </c>
      <c r="E721" s="2">
        <f>C721*D721 / 100</f>
        <v>0.2278</v>
      </c>
      <c r="F721">
        <f>IF(F720 &lt; 7, F720 +1,1)</f>
        <v>6</v>
      </c>
      <c r="G721" t="str">
        <f t="shared" si="11"/>
        <v/>
      </c>
    </row>
    <row r="722" spans="1:7">
      <c r="A722" s="1">
        <v>49361</v>
      </c>
      <c r="B722" t="s">
        <v>23</v>
      </c>
      <c r="C722">
        <v>12.2</v>
      </c>
      <c r="D722">
        <v>6</v>
      </c>
      <c r="E722" s="2">
        <f>C722*D722 / 100</f>
        <v>0.73199999999999987</v>
      </c>
      <c r="F722">
        <f>IF(F721 &lt; 7, F721 +1,1)</f>
        <v>7</v>
      </c>
      <c r="G722">
        <f t="shared" si="11"/>
        <v>115.5</v>
      </c>
    </row>
    <row r="723" spans="1:7">
      <c r="A723" s="1">
        <v>49362</v>
      </c>
      <c r="B723" t="s">
        <v>17</v>
      </c>
      <c r="C723">
        <v>29.8</v>
      </c>
      <c r="D723">
        <v>0.4</v>
      </c>
      <c r="E723" s="2">
        <f>C723*D723 / 100</f>
        <v>0.11920000000000001</v>
      </c>
      <c r="F723">
        <f>IF(F722 &lt; 7, F722 +1,1)</f>
        <v>1</v>
      </c>
      <c r="G723" t="str">
        <f t="shared" si="11"/>
        <v/>
      </c>
    </row>
    <row r="724" spans="1:7">
      <c r="A724" s="1">
        <v>49363</v>
      </c>
      <c r="B724" t="s">
        <v>36</v>
      </c>
      <c r="C724">
        <v>16.100000000000001</v>
      </c>
      <c r="D724">
        <v>28.7</v>
      </c>
      <c r="E724" s="2">
        <f>C724*D724 / 100</f>
        <v>4.6207000000000003</v>
      </c>
      <c r="F724">
        <f>IF(F723 &lt; 7, F723 +1,1)</f>
        <v>2</v>
      </c>
      <c r="G724" t="str">
        <f t="shared" si="11"/>
        <v/>
      </c>
    </row>
    <row r="725" spans="1:7">
      <c r="A725" s="1">
        <v>49364</v>
      </c>
      <c r="B725" t="s">
        <v>21</v>
      </c>
      <c r="C725">
        <v>18.8</v>
      </c>
      <c r="D725">
        <v>0</v>
      </c>
      <c r="E725" s="2">
        <f>C725*D725 / 100</f>
        <v>0</v>
      </c>
      <c r="F725">
        <f>IF(F724 &lt; 7, F724 +1,1)</f>
        <v>3</v>
      </c>
      <c r="G725" t="str">
        <f t="shared" si="11"/>
        <v/>
      </c>
    </row>
    <row r="726" spans="1:7">
      <c r="A726" s="1">
        <v>49365</v>
      </c>
      <c r="B726" t="s">
        <v>33</v>
      </c>
      <c r="C726">
        <v>17.100000000000001</v>
      </c>
      <c r="D726">
        <v>0</v>
      </c>
      <c r="E726" s="2">
        <f>C726*D726 / 100</f>
        <v>0</v>
      </c>
      <c r="F726">
        <f>IF(F725 &lt; 7, F725 +1,1)</f>
        <v>4</v>
      </c>
      <c r="G726" t="str">
        <f t="shared" si="11"/>
        <v/>
      </c>
    </row>
    <row r="727" spans="1:7">
      <c r="A727" s="1">
        <v>49366</v>
      </c>
      <c r="B727" t="s">
        <v>26</v>
      </c>
      <c r="C727">
        <v>11.7</v>
      </c>
      <c r="D727">
        <v>7.7</v>
      </c>
      <c r="E727" s="2">
        <f>C727*D727 / 100</f>
        <v>0.90090000000000003</v>
      </c>
      <c r="F727">
        <f>IF(F726 &lt; 7, F726 +1,1)</f>
        <v>5</v>
      </c>
      <c r="G727" t="str">
        <f t="shared" si="11"/>
        <v/>
      </c>
    </row>
    <row r="728" spans="1:7">
      <c r="A728" s="1">
        <v>49367</v>
      </c>
      <c r="B728" t="s">
        <v>29</v>
      </c>
      <c r="C728">
        <v>25.4</v>
      </c>
      <c r="D728">
        <v>14.2</v>
      </c>
      <c r="E728" s="2">
        <f>C728*D728 / 100</f>
        <v>3.6067999999999993</v>
      </c>
      <c r="F728">
        <f>IF(F727 &lt; 7, F727 +1,1)</f>
        <v>6</v>
      </c>
      <c r="G728" t="str">
        <f t="shared" si="11"/>
        <v/>
      </c>
    </row>
    <row r="729" spans="1:7">
      <c r="A729" s="1">
        <v>49368</v>
      </c>
      <c r="B729" t="s">
        <v>24</v>
      </c>
      <c r="C729">
        <v>12.6</v>
      </c>
      <c r="D729">
        <v>9</v>
      </c>
      <c r="E729" s="2">
        <f>C729*D729 / 100</f>
        <v>1.1339999999999999</v>
      </c>
      <c r="F729">
        <f>IF(F728 &lt; 7, F728 +1,1)</f>
        <v>7</v>
      </c>
      <c r="G729">
        <f t="shared" si="11"/>
        <v>131.5</v>
      </c>
    </row>
    <row r="730" spans="1:7">
      <c r="A730" s="1">
        <v>49369</v>
      </c>
      <c r="B730" t="s">
        <v>21</v>
      </c>
      <c r="C730">
        <v>15.8</v>
      </c>
      <c r="D730">
        <v>0</v>
      </c>
      <c r="E730" s="2">
        <f>C730*D730 / 100</f>
        <v>0</v>
      </c>
      <c r="F730">
        <f>IF(F729 &lt; 7, F729 +1,1)</f>
        <v>1</v>
      </c>
      <c r="G730" t="str">
        <f t="shared" si="11"/>
        <v/>
      </c>
    </row>
    <row r="731" spans="1:7">
      <c r="A731" s="1">
        <v>49370</v>
      </c>
      <c r="B731" t="s">
        <v>29</v>
      </c>
      <c r="C731">
        <v>24.7</v>
      </c>
      <c r="D731">
        <v>13.9</v>
      </c>
      <c r="E731" s="2">
        <f>C731*D731 / 100</f>
        <v>3.4333</v>
      </c>
      <c r="F731">
        <f>IF(F730 &lt; 7, F730 +1,1)</f>
        <v>2</v>
      </c>
      <c r="G731" t="str">
        <f t="shared" si="11"/>
        <v/>
      </c>
    </row>
    <row r="732" spans="1:7">
      <c r="A732" s="1">
        <v>49371</v>
      </c>
      <c r="B732" t="s">
        <v>14</v>
      </c>
      <c r="C732">
        <v>26.7</v>
      </c>
      <c r="D732">
        <v>0</v>
      </c>
      <c r="E732" s="2">
        <f>C732*D732 / 100</f>
        <v>0</v>
      </c>
      <c r="F732">
        <f>IF(F731 &lt; 7, F731 +1,1)</f>
        <v>3</v>
      </c>
      <c r="G732" t="str">
        <f t="shared" si="11"/>
        <v/>
      </c>
    </row>
    <row r="733" spans="1:7">
      <c r="A733" s="1">
        <v>49372</v>
      </c>
      <c r="B733" t="s">
        <v>36</v>
      </c>
      <c r="C733">
        <v>21.2</v>
      </c>
      <c r="D733">
        <v>5.3</v>
      </c>
      <c r="E733" s="2">
        <f>C733*D733 / 100</f>
        <v>1.1235999999999999</v>
      </c>
      <c r="F733">
        <f>IF(F732 &lt; 7, F732 +1,1)</f>
        <v>4</v>
      </c>
      <c r="G733" t="str">
        <f t="shared" si="11"/>
        <v/>
      </c>
    </row>
    <row r="734" spans="1:7">
      <c r="A734" s="1">
        <v>49373</v>
      </c>
      <c r="B734" t="s">
        <v>30</v>
      </c>
      <c r="C734">
        <v>10.4</v>
      </c>
      <c r="D734">
        <v>8.6</v>
      </c>
      <c r="E734" s="2">
        <f>C734*D734 / 100</f>
        <v>0.89439999999999997</v>
      </c>
      <c r="F734">
        <f>IF(F733 &lt; 7, F733 +1,1)</f>
        <v>5</v>
      </c>
      <c r="G734" t="str">
        <f t="shared" si="11"/>
        <v/>
      </c>
    </row>
    <row r="735" spans="1:7">
      <c r="A735" s="1">
        <v>49374</v>
      </c>
      <c r="B735" t="s">
        <v>12</v>
      </c>
      <c r="C735">
        <v>25.1</v>
      </c>
      <c r="D735">
        <v>3.3</v>
      </c>
      <c r="E735" s="2">
        <f>C735*D735 / 100</f>
        <v>0.82830000000000004</v>
      </c>
      <c r="F735">
        <f>IF(F734 &lt; 7, F734 +1,1)</f>
        <v>6</v>
      </c>
      <c r="G735" t="str">
        <f t="shared" si="11"/>
        <v/>
      </c>
    </row>
    <row r="736" spans="1:7">
      <c r="A736" s="1">
        <v>49375</v>
      </c>
      <c r="B736" t="s">
        <v>36</v>
      </c>
      <c r="C736">
        <v>27.8</v>
      </c>
      <c r="D736">
        <v>20.9</v>
      </c>
      <c r="E736" s="2">
        <f>C736*D736 / 100</f>
        <v>5.8102</v>
      </c>
      <c r="F736">
        <f>IF(F735 &lt; 7, F735 +1,1)</f>
        <v>7</v>
      </c>
      <c r="G736">
        <f t="shared" si="11"/>
        <v>151.70000000000002</v>
      </c>
    </row>
    <row r="737" spans="1:7">
      <c r="A737" s="1">
        <v>49376</v>
      </c>
      <c r="B737" t="s">
        <v>9</v>
      </c>
      <c r="C737">
        <v>26.1</v>
      </c>
      <c r="D737">
        <v>0</v>
      </c>
      <c r="E737" s="2">
        <f>C737*D737 / 100</f>
        <v>0</v>
      </c>
      <c r="F737">
        <f>IF(F736 &lt; 7, F736 +1,1)</f>
        <v>1</v>
      </c>
      <c r="G737" t="str">
        <f t="shared" si="11"/>
        <v/>
      </c>
    </row>
    <row r="738" spans="1:7">
      <c r="A738" s="1">
        <v>49377</v>
      </c>
      <c r="B738" t="s">
        <v>19</v>
      </c>
      <c r="C738">
        <v>18.3</v>
      </c>
      <c r="D738">
        <v>7.8</v>
      </c>
      <c r="E738" s="2">
        <f>C738*D738 / 100</f>
        <v>1.4274</v>
      </c>
      <c r="F738">
        <f>IF(F737 &lt; 7, F737 +1,1)</f>
        <v>2</v>
      </c>
      <c r="G738" t="str">
        <f t="shared" si="11"/>
        <v/>
      </c>
    </row>
    <row r="739" spans="1:7">
      <c r="A739" s="1">
        <v>49378</v>
      </c>
      <c r="B739" t="s">
        <v>9</v>
      </c>
      <c r="C739">
        <v>16.3</v>
      </c>
      <c r="D739">
        <v>0</v>
      </c>
      <c r="E739" s="2">
        <f>C739*D739 / 100</f>
        <v>0</v>
      </c>
      <c r="F739">
        <f>IF(F738 &lt; 7, F738 +1,1)</f>
        <v>3</v>
      </c>
      <c r="G739" t="str">
        <f t="shared" si="11"/>
        <v/>
      </c>
    </row>
    <row r="740" spans="1:7">
      <c r="A740" s="1">
        <v>49379</v>
      </c>
      <c r="B740" t="s">
        <v>9</v>
      </c>
      <c r="C740">
        <v>17.2</v>
      </c>
      <c r="D740">
        <v>12.5</v>
      </c>
      <c r="E740" s="2">
        <f>C740*D740 / 100</f>
        <v>2.15</v>
      </c>
      <c r="F740">
        <f>IF(F739 &lt; 7, F739 +1,1)</f>
        <v>4</v>
      </c>
      <c r="G740" t="str">
        <f t="shared" si="11"/>
        <v/>
      </c>
    </row>
    <row r="741" spans="1:7">
      <c r="A741" s="1">
        <v>49380</v>
      </c>
      <c r="B741" t="s">
        <v>13</v>
      </c>
      <c r="C741">
        <v>22.1</v>
      </c>
      <c r="D741">
        <v>3.7</v>
      </c>
      <c r="E741" s="2">
        <f>C741*D741 / 100</f>
        <v>0.81770000000000009</v>
      </c>
      <c r="F741">
        <f>IF(F740 &lt; 7, F740 +1,1)</f>
        <v>5</v>
      </c>
      <c r="G741" t="str">
        <f t="shared" si="11"/>
        <v/>
      </c>
    </row>
    <row r="742" spans="1:7">
      <c r="A742" s="1">
        <v>49381</v>
      </c>
      <c r="B742" t="s">
        <v>6</v>
      </c>
      <c r="C742">
        <v>18.8</v>
      </c>
      <c r="D742">
        <v>0</v>
      </c>
      <c r="E742" s="2">
        <f>C742*D742 / 100</f>
        <v>0</v>
      </c>
      <c r="F742">
        <f>IF(F741 &lt; 7, F741 +1,1)</f>
        <v>6</v>
      </c>
      <c r="G742" t="str">
        <f t="shared" si="11"/>
        <v/>
      </c>
    </row>
    <row r="743" spans="1:7">
      <c r="A743" s="1">
        <v>49382</v>
      </c>
      <c r="B743" t="s">
        <v>29</v>
      </c>
      <c r="C743">
        <v>12.3</v>
      </c>
      <c r="D743">
        <v>7.1</v>
      </c>
      <c r="E743" s="2">
        <f>C743*D743 / 100</f>
        <v>0.87329999999999997</v>
      </c>
      <c r="F743">
        <f>IF(F742 &lt; 7, F742 +1,1)</f>
        <v>7</v>
      </c>
      <c r="G743">
        <f t="shared" si="11"/>
        <v>131.1</v>
      </c>
    </row>
    <row r="744" spans="1:7">
      <c r="A744" s="1">
        <v>49383</v>
      </c>
      <c r="B744" t="s">
        <v>21</v>
      </c>
      <c r="C744">
        <v>27.5</v>
      </c>
      <c r="D744">
        <v>34.299999999999997</v>
      </c>
      <c r="E744" s="2">
        <f>C744*D744 / 100</f>
        <v>9.4324999999999992</v>
      </c>
      <c r="F744">
        <f>IF(F743 &lt; 7, F743 +1,1)</f>
        <v>1</v>
      </c>
      <c r="G744" t="str">
        <f t="shared" si="11"/>
        <v/>
      </c>
    </row>
    <row r="745" spans="1:7">
      <c r="A745" s="1">
        <v>49384</v>
      </c>
      <c r="B745" t="s">
        <v>29</v>
      </c>
      <c r="C745">
        <v>23.1</v>
      </c>
      <c r="D745">
        <v>0</v>
      </c>
      <c r="E745" s="2">
        <f>C745*D745 / 100</f>
        <v>0</v>
      </c>
      <c r="F745">
        <f>IF(F744 &lt; 7, F744 +1,1)</f>
        <v>2</v>
      </c>
      <c r="G745" t="str">
        <f t="shared" si="11"/>
        <v/>
      </c>
    </row>
    <row r="746" spans="1:7">
      <c r="A746" s="1">
        <v>49385</v>
      </c>
      <c r="B746" t="s">
        <v>9</v>
      </c>
      <c r="C746">
        <v>21.3</v>
      </c>
      <c r="D746">
        <v>0</v>
      </c>
      <c r="E746" s="2">
        <f>C746*D746 / 100</f>
        <v>0</v>
      </c>
      <c r="F746">
        <f>IF(F745 &lt; 7, F745 +1,1)</f>
        <v>3</v>
      </c>
      <c r="G746" t="str">
        <f t="shared" si="11"/>
        <v/>
      </c>
    </row>
    <row r="747" spans="1:7">
      <c r="A747" s="1">
        <v>49386</v>
      </c>
      <c r="B747" t="s">
        <v>12</v>
      </c>
      <c r="C747">
        <v>13.8</v>
      </c>
      <c r="D747">
        <v>5.9</v>
      </c>
      <c r="E747" s="2">
        <f>C747*D747 / 100</f>
        <v>0.81420000000000015</v>
      </c>
      <c r="F747">
        <f>IF(F746 &lt; 7, F746 +1,1)</f>
        <v>4</v>
      </c>
      <c r="G747" t="str">
        <f t="shared" si="11"/>
        <v/>
      </c>
    </row>
    <row r="748" spans="1:7">
      <c r="A748" s="1">
        <v>49387</v>
      </c>
      <c r="B748" t="s">
        <v>19</v>
      </c>
      <c r="C748">
        <v>20</v>
      </c>
      <c r="D748">
        <v>16</v>
      </c>
      <c r="E748" s="2">
        <f>C748*D748 / 100</f>
        <v>3.2</v>
      </c>
      <c r="F748">
        <f>IF(F747 &lt; 7, F747 +1,1)</f>
        <v>5</v>
      </c>
      <c r="G748" t="str">
        <f t="shared" si="11"/>
        <v/>
      </c>
    </row>
    <row r="749" spans="1:7">
      <c r="A749" s="1">
        <v>49388</v>
      </c>
      <c r="B749" t="s">
        <v>34</v>
      </c>
      <c r="C749">
        <v>23.9</v>
      </c>
      <c r="D749">
        <v>0</v>
      </c>
      <c r="E749" s="2">
        <f>C749*D749 / 100</f>
        <v>0</v>
      </c>
      <c r="F749">
        <f>IF(F748 &lt; 7, F748 +1,1)</f>
        <v>6</v>
      </c>
      <c r="G749" t="str">
        <f t="shared" si="11"/>
        <v/>
      </c>
    </row>
    <row r="750" spans="1:7">
      <c r="A750" s="1">
        <v>49389</v>
      </c>
      <c r="B750" t="s">
        <v>25</v>
      </c>
      <c r="C750">
        <v>15.3</v>
      </c>
      <c r="D750">
        <v>0.1</v>
      </c>
      <c r="E750" s="2">
        <f>C750*D750 / 100</f>
        <v>1.5300000000000003E-2</v>
      </c>
      <c r="F750">
        <f>IF(F749 &lt; 7, F749 +1,1)</f>
        <v>7</v>
      </c>
      <c r="G750">
        <f t="shared" si="11"/>
        <v>144.9</v>
      </c>
    </row>
    <row r="751" spans="1:7">
      <c r="A751" s="1">
        <v>49390</v>
      </c>
      <c r="B751" t="s">
        <v>11</v>
      </c>
      <c r="C751">
        <v>16.600000000000001</v>
      </c>
      <c r="D751">
        <v>0</v>
      </c>
      <c r="E751" s="2">
        <f>C751*D751 / 100</f>
        <v>0</v>
      </c>
      <c r="F751">
        <f>IF(F750 &lt; 7, F750 +1,1)</f>
        <v>1</v>
      </c>
      <c r="G751" t="str">
        <f t="shared" si="11"/>
        <v/>
      </c>
    </row>
    <row r="752" spans="1:7">
      <c r="A752" s="1">
        <v>49391</v>
      </c>
      <c r="B752" t="s">
        <v>14</v>
      </c>
      <c r="C752">
        <v>20.8</v>
      </c>
      <c r="D752">
        <v>2</v>
      </c>
      <c r="E752" s="2">
        <f>C752*D752 / 100</f>
        <v>0.41600000000000004</v>
      </c>
      <c r="F752">
        <f>IF(F751 &lt; 7, F751 +1,1)</f>
        <v>2</v>
      </c>
      <c r="G752" t="str">
        <f t="shared" si="11"/>
        <v/>
      </c>
    </row>
    <row r="753" spans="1:7">
      <c r="A753" s="1">
        <v>49392</v>
      </c>
      <c r="B753" t="s">
        <v>9</v>
      </c>
      <c r="C753">
        <v>10.8</v>
      </c>
      <c r="D753">
        <v>12.3</v>
      </c>
      <c r="E753" s="2">
        <f>C753*D753 / 100</f>
        <v>1.3284</v>
      </c>
      <c r="F753">
        <f>IF(F752 &lt; 7, F752 +1,1)</f>
        <v>3</v>
      </c>
      <c r="G753" t="str">
        <f t="shared" si="11"/>
        <v/>
      </c>
    </row>
    <row r="754" spans="1:7">
      <c r="A754" s="1">
        <v>49393</v>
      </c>
      <c r="B754" t="s">
        <v>9</v>
      </c>
      <c r="C754">
        <v>12.5</v>
      </c>
      <c r="D754">
        <v>18.399999999999999</v>
      </c>
      <c r="E754" s="2">
        <f>C754*D754 / 100</f>
        <v>2.2999999999999998</v>
      </c>
      <c r="F754">
        <f>IF(F753 &lt; 7, F753 +1,1)</f>
        <v>4</v>
      </c>
      <c r="G754" t="str">
        <f t="shared" si="11"/>
        <v/>
      </c>
    </row>
    <row r="755" spans="1:7">
      <c r="A755" s="1">
        <v>49394</v>
      </c>
      <c r="B755" t="s">
        <v>26</v>
      </c>
      <c r="C755">
        <v>24</v>
      </c>
      <c r="D755">
        <v>4.9000000000000004</v>
      </c>
      <c r="E755" s="2">
        <f>C755*D755 / 100</f>
        <v>1.1760000000000002</v>
      </c>
      <c r="F755">
        <f>IF(F754 &lt; 7, F754 +1,1)</f>
        <v>5</v>
      </c>
      <c r="G755" t="str">
        <f t="shared" si="11"/>
        <v/>
      </c>
    </row>
    <row r="756" spans="1:7">
      <c r="A756" s="1">
        <v>49395</v>
      </c>
      <c r="B756" t="s">
        <v>21</v>
      </c>
      <c r="C756">
        <v>21.4</v>
      </c>
      <c r="D756">
        <v>11.1</v>
      </c>
      <c r="E756" s="2">
        <f>C756*D756 / 100</f>
        <v>2.3753999999999995</v>
      </c>
      <c r="F756">
        <f>IF(F755 &lt; 7, F755 +1,1)</f>
        <v>6</v>
      </c>
      <c r="G756" t="str">
        <f t="shared" si="11"/>
        <v/>
      </c>
    </row>
    <row r="757" spans="1:7">
      <c r="A757" s="1">
        <v>49396</v>
      </c>
      <c r="B757" t="s">
        <v>24</v>
      </c>
      <c r="C757">
        <v>18.3</v>
      </c>
      <c r="D757">
        <v>0</v>
      </c>
      <c r="E757" s="2">
        <f>C757*D757 / 100</f>
        <v>0</v>
      </c>
      <c r="F757">
        <f>IF(F756 &lt; 7, F756 +1,1)</f>
        <v>7</v>
      </c>
      <c r="G757">
        <f t="shared" si="11"/>
        <v>124.39999999999999</v>
      </c>
    </row>
    <row r="758" spans="1:7">
      <c r="A758" s="1">
        <v>49397</v>
      </c>
      <c r="B758" t="s">
        <v>33</v>
      </c>
      <c r="C758">
        <v>10.5</v>
      </c>
      <c r="D758">
        <v>3.9</v>
      </c>
      <c r="E758" s="2">
        <f>C758*D758 / 100</f>
        <v>0.40949999999999998</v>
      </c>
      <c r="F758">
        <f>IF(F757 &lt; 7, F757 +1,1)</f>
        <v>1</v>
      </c>
      <c r="G758" t="str">
        <f t="shared" si="11"/>
        <v/>
      </c>
    </row>
    <row r="759" spans="1:7">
      <c r="A759" s="1">
        <v>49398</v>
      </c>
      <c r="B759" t="s">
        <v>21</v>
      </c>
      <c r="C759">
        <v>11.7</v>
      </c>
      <c r="D759">
        <v>0</v>
      </c>
      <c r="E759" s="2">
        <f>C759*D759 / 100</f>
        <v>0</v>
      </c>
      <c r="F759">
        <f>IF(F758 &lt; 7, F758 +1,1)</f>
        <v>2</v>
      </c>
      <c r="G759" t="str">
        <f t="shared" si="11"/>
        <v/>
      </c>
    </row>
    <row r="760" spans="1:7">
      <c r="A760" s="1">
        <v>49399</v>
      </c>
      <c r="B760" t="s">
        <v>16</v>
      </c>
      <c r="C760">
        <v>26.8</v>
      </c>
      <c r="D760">
        <v>0</v>
      </c>
      <c r="E760" s="2">
        <f>C760*D760 / 100</f>
        <v>0</v>
      </c>
      <c r="F760">
        <f>IF(F759 &lt; 7, F759 +1,1)</f>
        <v>3</v>
      </c>
      <c r="G760" t="str">
        <f t="shared" si="11"/>
        <v/>
      </c>
    </row>
    <row r="761" spans="1:7">
      <c r="A761" s="1">
        <v>49400</v>
      </c>
      <c r="B761" t="s">
        <v>21</v>
      </c>
      <c r="C761">
        <v>22.1</v>
      </c>
      <c r="D761">
        <v>33.799999999999997</v>
      </c>
      <c r="E761" s="2">
        <f>C761*D761 / 100</f>
        <v>7.4698000000000002</v>
      </c>
      <c r="F761">
        <f>IF(F760 &lt; 7, F760 +1,1)</f>
        <v>4</v>
      </c>
      <c r="G761" t="str">
        <f t="shared" si="11"/>
        <v/>
      </c>
    </row>
    <row r="762" spans="1:7">
      <c r="A762" s="1">
        <v>49401</v>
      </c>
      <c r="B762" t="s">
        <v>27</v>
      </c>
      <c r="C762">
        <v>17.100000000000001</v>
      </c>
      <c r="D762">
        <v>0</v>
      </c>
      <c r="E762" s="2">
        <f>C762*D762 / 100</f>
        <v>0</v>
      </c>
      <c r="F762">
        <f>IF(F761 &lt; 7, F761 +1,1)</f>
        <v>5</v>
      </c>
      <c r="G762" t="str">
        <f t="shared" si="11"/>
        <v/>
      </c>
    </row>
    <row r="763" spans="1:7">
      <c r="A763" s="1">
        <v>49402</v>
      </c>
      <c r="B763" t="s">
        <v>19</v>
      </c>
      <c r="C763">
        <v>12.1</v>
      </c>
      <c r="D763">
        <v>14.4</v>
      </c>
      <c r="E763" s="2">
        <f>C763*D763 / 100</f>
        <v>1.7424000000000002</v>
      </c>
      <c r="F763">
        <f>IF(F762 &lt; 7, F762 +1,1)</f>
        <v>6</v>
      </c>
      <c r="G763" t="str">
        <f t="shared" si="11"/>
        <v/>
      </c>
    </row>
    <row r="764" spans="1:7">
      <c r="A764" s="1">
        <v>49403</v>
      </c>
      <c r="B764" t="s">
        <v>36</v>
      </c>
      <c r="C764">
        <v>28.6</v>
      </c>
      <c r="D764">
        <v>23.2</v>
      </c>
      <c r="E764" s="2">
        <f>C764*D764 / 100</f>
        <v>6.6352000000000002</v>
      </c>
      <c r="F764">
        <f>IF(F763 &lt; 7, F763 +1,1)</f>
        <v>7</v>
      </c>
      <c r="G764">
        <f t="shared" si="11"/>
        <v>128.89999999999998</v>
      </c>
    </row>
    <row r="765" spans="1:7">
      <c r="A765" s="1">
        <v>49404</v>
      </c>
      <c r="B765" t="s">
        <v>30</v>
      </c>
      <c r="C765">
        <v>21.2</v>
      </c>
      <c r="D765">
        <v>1.5</v>
      </c>
      <c r="E765" s="2">
        <f>C765*D765 / 100</f>
        <v>0.31799999999999995</v>
      </c>
      <c r="F765">
        <f>IF(F764 &lt; 7, F764 +1,1)</f>
        <v>1</v>
      </c>
      <c r="G765" t="str">
        <f t="shared" si="11"/>
        <v/>
      </c>
    </row>
    <row r="766" spans="1:7">
      <c r="A766" s="1">
        <v>49405</v>
      </c>
      <c r="B766" t="s">
        <v>26</v>
      </c>
      <c r="C766">
        <v>17.2</v>
      </c>
      <c r="D766">
        <v>2.4</v>
      </c>
      <c r="E766" s="2">
        <f>C766*D766 / 100</f>
        <v>0.41279999999999994</v>
      </c>
      <c r="F766">
        <f>IF(F765 &lt; 7, F765 +1,1)</f>
        <v>2</v>
      </c>
      <c r="G766" t="str">
        <f t="shared" si="11"/>
        <v/>
      </c>
    </row>
    <row r="767" spans="1:7">
      <c r="A767" s="1">
        <v>49406</v>
      </c>
      <c r="B767" t="s">
        <v>21</v>
      </c>
      <c r="C767">
        <v>22.3</v>
      </c>
      <c r="D767">
        <v>0</v>
      </c>
      <c r="E767" s="2">
        <f>C767*D767 / 100</f>
        <v>0</v>
      </c>
      <c r="F767">
        <f>IF(F766 &lt; 7, F766 +1,1)</f>
        <v>3</v>
      </c>
      <c r="G767" t="str">
        <f t="shared" si="11"/>
        <v/>
      </c>
    </row>
    <row r="768" spans="1:7">
      <c r="A768" s="1">
        <v>49407</v>
      </c>
      <c r="B768" t="s">
        <v>33</v>
      </c>
      <c r="C768">
        <v>13.2</v>
      </c>
      <c r="D768">
        <v>3.6</v>
      </c>
      <c r="E768" s="2">
        <f>C768*D768 / 100</f>
        <v>0.47519999999999996</v>
      </c>
      <c r="F768">
        <f>IF(F767 &lt; 7, F767 +1,1)</f>
        <v>4</v>
      </c>
      <c r="G768" t="str">
        <f t="shared" si="11"/>
        <v/>
      </c>
    </row>
    <row r="769" spans="1:7">
      <c r="A769" s="1">
        <v>49408</v>
      </c>
      <c r="B769" t="s">
        <v>29</v>
      </c>
      <c r="C769">
        <v>13.6</v>
      </c>
      <c r="D769">
        <v>13.4</v>
      </c>
      <c r="E769" s="2">
        <f>C769*D769 / 100</f>
        <v>1.8224</v>
      </c>
      <c r="F769">
        <f>IF(F768 &lt; 7, F768 +1,1)</f>
        <v>5</v>
      </c>
      <c r="G769" t="str">
        <f t="shared" si="11"/>
        <v/>
      </c>
    </row>
    <row r="770" spans="1:7">
      <c r="A770" s="1">
        <v>49409</v>
      </c>
      <c r="B770" t="s">
        <v>34</v>
      </c>
      <c r="C770">
        <v>15.7</v>
      </c>
      <c r="D770">
        <v>0</v>
      </c>
      <c r="E770" s="2">
        <f>C770*D770 / 100</f>
        <v>0</v>
      </c>
      <c r="F770">
        <f>IF(F769 &lt; 7, F769 +1,1)</f>
        <v>6</v>
      </c>
      <c r="G770" t="str">
        <f t="shared" si="11"/>
        <v/>
      </c>
    </row>
    <row r="771" spans="1:7">
      <c r="A771" s="1">
        <v>49410</v>
      </c>
      <c r="B771" t="s">
        <v>26</v>
      </c>
      <c r="C771">
        <v>24.8</v>
      </c>
      <c r="D771">
        <v>0</v>
      </c>
      <c r="E771" s="2">
        <f>C771*D771 / 100</f>
        <v>0</v>
      </c>
      <c r="F771">
        <f>IF(F770 &lt; 7, F770 +1,1)</f>
        <v>7</v>
      </c>
      <c r="G771">
        <f t="shared" si="11"/>
        <v>128</v>
      </c>
    </row>
    <row r="772" spans="1:7">
      <c r="A772" s="1">
        <v>49411</v>
      </c>
      <c r="B772" t="s">
        <v>21</v>
      </c>
      <c r="C772">
        <v>25.1</v>
      </c>
      <c r="D772">
        <v>5.0999999999999996</v>
      </c>
      <c r="E772" s="2">
        <f>C772*D772 / 100</f>
        <v>1.2801</v>
      </c>
      <c r="F772">
        <f>IF(F771 &lt; 7, F771 +1,1)</f>
        <v>1</v>
      </c>
      <c r="G772" t="str">
        <f t="shared" si="11"/>
        <v/>
      </c>
    </row>
    <row r="773" spans="1:7">
      <c r="A773" s="1">
        <v>49412</v>
      </c>
      <c r="B773" t="s">
        <v>36</v>
      </c>
      <c r="C773">
        <v>14.2</v>
      </c>
      <c r="D773">
        <v>23.5</v>
      </c>
      <c r="E773" s="2">
        <f>C773*D773 / 100</f>
        <v>3.3369999999999997</v>
      </c>
      <c r="F773">
        <f>IF(F772 &lt; 7, F772 +1,1)</f>
        <v>2</v>
      </c>
      <c r="G773" t="str">
        <f t="shared" si="11"/>
        <v/>
      </c>
    </row>
    <row r="774" spans="1:7">
      <c r="A774" s="1">
        <v>49413</v>
      </c>
      <c r="B774" t="s">
        <v>11</v>
      </c>
      <c r="C774">
        <v>21.1</v>
      </c>
      <c r="D774">
        <v>1.4</v>
      </c>
      <c r="E774" s="2">
        <f>C774*D774 / 100</f>
        <v>0.2954</v>
      </c>
      <c r="F774">
        <f>IF(F773 &lt; 7, F773 +1,1)</f>
        <v>3</v>
      </c>
      <c r="G774" t="str">
        <f t="shared" si="11"/>
        <v/>
      </c>
    </row>
    <row r="775" spans="1:7">
      <c r="A775" s="1">
        <v>49414</v>
      </c>
      <c r="B775" t="s">
        <v>21</v>
      </c>
      <c r="C775">
        <v>25.4</v>
      </c>
      <c r="D775">
        <v>28</v>
      </c>
      <c r="E775" s="2">
        <f>C775*D775 / 100</f>
        <v>7.1119999999999992</v>
      </c>
      <c r="F775">
        <f>IF(F774 &lt; 7, F774 +1,1)</f>
        <v>4</v>
      </c>
      <c r="G775" t="str">
        <f t="shared" si="11"/>
        <v/>
      </c>
    </row>
    <row r="776" spans="1:7">
      <c r="A776" s="1">
        <v>49415</v>
      </c>
      <c r="B776" t="s">
        <v>21</v>
      </c>
      <c r="C776">
        <v>24.7</v>
      </c>
      <c r="D776">
        <v>5.7</v>
      </c>
      <c r="E776" s="2">
        <f>C776*D776 / 100</f>
        <v>1.4078999999999999</v>
      </c>
      <c r="F776">
        <f>IF(F775 &lt; 7, F775 +1,1)</f>
        <v>5</v>
      </c>
      <c r="G776" t="str">
        <f t="shared" si="11"/>
        <v/>
      </c>
    </row>
    <row r="777" spans="1:7">
      <c r="A777" s="1">
        <v>49416</v>
      </c>
      <c r="B777" t="s">
        <v>19</v>
      </c>
      <c r="C777">
        <v>19.8</v>
      </c>
      <c r="D777">
        <v>0</v>
      </c>
      <c r="E777" s="2">
        <f>C777*D777 / 100</f>
        <v>0</v>
      </c>
      <c r="F777">
        <f>IF(F776 &lt; 7, F776 +1,1)</f>
        <v>6</v>
      </c>
      <c r="G777" t="str">
        <f t="shared" ref="G777:G840" si="12">IF(F777=7, SUM(C771:C777), "")</f>
        <v/>
      </c>
    </row>
    <row r="778" spans="1:7">
      <c r="A778" s="1">
        <v>49417</v>
      </c>
      <c r="B778" t="s">
        <v>14</v>
      </c>
      <c r="C778">
        <v>28.4</v>
      </c>
      <c r="D778">
        <v>2.9</v>
      </c>
      <c r="E778" s="2">
        <f>C778*D778 / 100</f>
        <v>0.8236</v>
      </c>
      <c r="F778">
        <f>IF(F777 &lt; 7, F777 +1,1)</f>
        <v>7</v>
      </c>
      <c r="G778">
        <f t="shared" si="12"/>
        <v>158.70000000000002</v>
      </c>
    </row>
    <row r="779" spans="1:7">
      <c r="A779" s="1">
        <v>49418</v>
      </c>
      <c r="B779" t="s">
        <v>9</v>
      </c>
      <c r="C779">
        <v>26.5</v>
      </c>
      <c r="D779">
        <v>0</v>
      </c>
      <c r="E779" s="2">
        <f>C779*D779 / 100</f>
        <v>0</v>
      </c>
      <c r="F779">
        <f>IF(F778 &lt; 7, F778 +1,1)</f>
        <v>1</v>
      </c>
      <c r="G779" t="str">
        <f t="shared" si="12"/>
        <v/>
      </c>
    </row>
    <row r="780" spans="1:7">
      <c r="A780" s="1">
        <v>49419</v>
      </c>
      <c r="B780" t="s">
        <v>21</v>
      </c>
      <c r="C780">
        <v>14.1</v>
      </c>
      <c r="D780">
        <v>13.1</v>
      </c>
      <c r="E780" s="2">
        <f>C780*D780 / 100</f>
        <v>1.8470999999999997</v>
      </c>
      <c r="F780">
        <f>IF(F779 &lt; 7, F779 +1,1)</f>
        <v>2</v>
      </c>
      <c r="G780" t="str">
        <f t="shared" si="12"/>
        <v/>
      </c>
    </row>
    <row r="781" spans="1:7">
      <c r="A781" s="1">
        <v>49420</v>
      </c>
      <c r="B781" t="s">
        <v>5</v>
      </c>
      <c r="C781">
        <v>15.9</v>
      </c>
      <c r="D781">
        <v>0.5</v>
      </c>
      <c r="E781" s="2">
        <f>C781*D781 / 100</f>
        <v>7.9500000000000001E-2</v>
      </c>
      <c r="F781">
        <f>IF(F780 &lt; 7, F780 +1,1)</f>
        <v>3</v>
      </c>
      <c r="G781" t="str">
        <f t="shared" si="12"/>
        <v/>
      </c>
    </row>
    <row r="782" spans="1:7">
      <c r="A782" s="1">
        <v>49421</v>
      </c>
      <c r="B782" t="s">
        <v>36</v>
      </c>
      <c r="C782">
        <v>28.2</v>
      </c>
      <c r="D782">
        <v>26.9</v>
      </c>
      <c r="E782" s="2">
        <f>C782*D782 / 100</f>
        <v>7.585799999999999</v>
      </c>
      <c r="F782">
        <f>IF(F781 &lt; 7, F781 +1,1)</f>
        <v>4</v>
      </c>
      <c r="G782" t="str">
        <f t="shared" si="12"/>
        <v/>
      </c>
    </row>
    <row r="783" spans="1:7">
      <c r="A783" s="1">
        <v>49422</v>
      </c>
      <c r="B783" t="s">
        <v>5</v>
      </c>
      <c r="C783">
        <v>17.100000000000001</v>
      </c>
      <c r="D783">
        <v>0.5</v>
      </c>
      <c r="E783" s="2">
        <f>C783*D783 / 100</f>
        <v>8.5500000000000007E-2</v>
      </c>
      <c r="F783">
        <f>IF(F782 &lt; 7, F782 +1,1)</f>
        <v>5</v>
      </c>
      <c r="G783" t="str">
        <f t="shared" si="12"/>
        <v/>
      </c>
    </row>
    <row r="784" spans="1:7">
      <c r="A784" s="1">
        <v>49423</v>
      </c>
      <c r="B784" t="s">
        <v>36</v>
      </c>
      <c r="C784">
        <v>27</v>
      </c>
      <c r="D784">
        <v>0</v>
      </c>
      <c r="E784" s="2">
        <f>C784*D784 / 100</f>
        <v>0</v>
      </c>
      <c r="F784">
        <f>IF(F783 &lt; 7, F783 +1,1)</f>
        <v>6</v>
      </c>
      <c r="G784" t="str">
        <f t="shared" si="12"/>
        <v/>
      </c>
    </row>
    <row r="785" spans="1:7">
      <c r="A785" s="1">
        <v>49424</v>
      </c>
      <c r="B785" t="s">
        <v>29</v>
      </c>
      <c r="C785">
        <v>24.1</v>
      </c>
      <c r="D785">
        <v>0</v>
      </c>
      <c r="E785" s="2">
        <f>C785*D785 / 100</f>
        <v>0</v>
      </c>
      <c r="F785">
        <f>IF(F784 &lt; 7, F784 +1,1)</f>
        <v>7</v>
      </c>
      <c r="G785">
        <f t="shared" si="12"/>
        <v>152.9</v>
      </c>
    </row>
    <row r="786" spans="1:7">
      <c r="A786" s="1">
        <v>49425</v>
      </c>
      <c r="B786" t="s">
        <v>34</v>
      </c>
      <c r="C786">
        <v>10.4</v>
      </c>
      <c r="D786">
        <v>7.2</v>
      </c>
      <c r="E786" s="2">
        <f>C786*D786 / 100</f>
        <v>0.74880000000000013</v>
      </c>
      <c r="F786">
        <f>IF(F785 &lt; 7, F785 +1,1)</f>
        <v>1</v>
      </c>
      <c r="G786" t="str">
        <f t="shared" si="12"/>
        <v/>
      </c>
    </row>
    <row r="787" spans="1:7">
      <c r="A787" s="1">
        <v>49426</v>
      </c>
      <c r="B787" t="s">
        <v>19</v>
      </c>
      <c r="C787">
        <v>27.2</v>
      </c>
      <c r="D787">
        <v>15.1</v>
      </c>
      <c r="E787" s="2">
        <f>C787*D787 / 100</f>
        <v>4.1071999999999997</v>
      </c>
      <c r="F787">
        <f>IF(F786 &lt; 7, F786 +1,1)</f>
        <v>2</v>
      </c>
      <c r="G787" t="str">
        <f t="shared" si="12"/>
        <v/>
      </c>
    </row>
    <row r="788" spans="1:7">
      <c r="A788" s="1">
        <v>49427</v>
      </c>
      <c r="B788" t="s">
        <v>24</v>
      </c>
      <c r="C788">
        <v>22.1</v>
      </c>
      <c r="D788">
        <v>0</v>
      </c>
      <c r="E788" s="2">
        <f>C788*D788 / 100</f>
        <v>0</v>
      </c>
      <c r="F788">
        <f>IF(F787 &lt; 7, F787 +1,1)</f>
        <v>3</v>
      </c>
      <c r="G788" t="str">
        <f t="shared" si="12"/>
        <v/>
      </c>
    </row>
    <row r="789" spans="1:7">
      <c r="A789" s="1">
        <v>49428</v>
      </c>
      <c r="B789" t="s">
        <v>11</v>
      </c>
      <c r="C789">
        <v>13.3</v>
      </c>
      <c r="D789">
        <v>8.5</v>
      </c>
      <c r="E789" s="2">
        <f>C789*D789 / 100</f>
        <v>1.1305000000000001</v>
      </c>
      <c r="F789">
        <f>IF(F788 &lt; 7, F788 +1,1)</f>
        <v>4</v>
      </c>
      <c r="G789" t="str">
        <f t="shared" si="12"/>
        <v/>
      </c>
    </row>
    <row r="790" spans="1:7">
      <c r="A790" s="1">
        <v>49429</v>
      </c>
      <c r="B790" t="s">
        <v>34</v>
      </c>
      <c r="C790">
        <v>26.4</v>
      </c>
      <c r="D790">
        <v>0</v>
      </c>
      <c r="E790" s="2">
        <f>C790*D790 / 100</f>
        <v>0</v>
      </c>
      <c r="F790">
        <f>IF(F789 &lt; 7, F789 +1,1)</f>
        <v>5</v>
      </c>
      <c r="G790" t="str">
        <f t="shared" si="12"/>
        <v/>
      </c>
    </row>
    <row r="791" spans="1:7">
      <c r="A791" s="1">
        <v>49430</v>
      </c>
      <c r="B791" t="s">
        <v>35</v>
      </c>
      <c r="C791">
        <v>25.8</v>
      </c>
      <c r="D791">
        <v>2.9</v>
      </c>
      <c r="E791" s="2">
        <f>C791*D791 / 100</f>
        <v>0.74819999999999998</v>
      </c>
      <c r="F791">
        <f>IF(F790 &lt; 7, F790 +1,1)</f>
        <v>6</v>
      </c>
      <c r="G791" t="str">
        <f t="shared" si="12"/>
        <v/>
      </c>
    </row>
    <row r="792" spans="1:7">
      <c r="A792" s="1">
        <v>49431</v>
      </c>
      <c r="B792" t="s">
        <v>33</v>
      </c>
      <c r="C792">
        <v>23</v>
      </c>
      <c r="D792">
        <v>3.8</v>
      </c>
      <c r="E792" s="2">
        <f>C792*D792 / 100</f>
        <v>0.87399999999999989</v>
      </c>
      <c r="F792">
        <f>IF(F791 &lt; 7, F791 +1,1)</f>
        <v>7</v>
      </c>
      <c r="G792">
        <f t="shared" si="12"/>
        <v>148.19999999999999</v>
      </c>
    </row>
    <row r="793" spans="1:7">
      <c r="A793" s="1">
        <v>49432</v>
      </c>
      <c r="B793" t="s">
        <v>19</v>
      </c>
      <c r="C793">
        <v>22.7</v>
      </c>
      <c r="D793">
        <v>0</v>
      </c>
      <c r="E793" s="2">
        <f>C793*D793 / 100</f>
        <v>0</v>
      </c>
      <c r="F793">
        <f>IF(F792 &lt; 7, F792 +1,1)</f>
        <v>1</v>
      </c>
      <c r="G793" t="str">
        <f t="shared" si="12"/>
        <v/>
      </c>
    </row>
    <row r="794" spans="1:7">
      <c r="A794" s="1">
        <v>49433</v>
      </c>
      <c r="B794" t="s">
        <v>12</v>
      </c>
      <c r="C794">
        <v>26.2</v>
      </c>
      <c r="D794">
        <v>5.0999999999999996</v>
      </c>
      <c r="E794" s="2">
        <f>C794*D794 / 100</f>
        <v>1.3361999999999998</v>
      </c>
      <c r="F794">
        <f>IF(F793 &lt; 7, F793 +1,1)</f>
        <v>2</v>
      </c>
      <c r="G794" t="str">
        <f t="shared" si="12"/>
        <v/>
      </c>
    </row>
    <row r="795" spans="1:7">
      <c r="A795" s="1">
        <v>49434</v>
      </c>
      <c r="B795" t="s">
        <v>11</v>
      </c>
      <c r="C795">
        <v>16.600000000000001</v>
      </c>
      <c r="D795">
        <v>0</v>
      </c>
      <c r="E795" s="2">
        <f>C795*D795 / 100</f>
        <v>0</v>
      </c>
      <c r="F795">
        <f>IF(F794 &lt; 7, F794 +1,1)</f>
        <v>3</v>
      </c>
      <c r="G795" t="str">
        <f t="shared" si="12"/>
        <v/>
      </c>
    </row>
    <row r="796" spans="1:7">
      <c r="A796" s="1">
        <v>49435</v>
      </c>
      <c r="B796" t="s">
        <v>6</v>
      </c>
      <c r="C796">
        <v>23.9</v>
      </c>
      <c r="D796">
        <v>0</v>
      </c>
      <c r="E796" s="2">
        <f>C796*D796 / 100</f>
        <v>0</v>
      </c>
      <c r="F796">
        <f>IF(F795 &lt; 7, F795 +1,1)</f>
        <v>4</v>
      </c>
      <c r="G796" t="str">
        <f t="shared" si="12"/>
        <v/>
      </c>
    </row>
    <row r="797" spans="1:7">
      <c r="A797" s="1">
        <v>49436</v>
      </c>
      <c r="B797" t="s">
        <v>16</v>
      </c>
      <c r="C797">
        <v>10.6</v>
      </c>
      <c r="D797">
        <v>21.3</v>
      </c>
      <c r="E797" s="2">
        <f>C797*D797 / 100</f>
        <v>2.2578</v>
      </c>
      <c r="F797">
        <f>IF(F796 &lt; 7, F796 +1,1)</f>
        <v>5</v>
      </c>
      <c r="G797" t="str">
        <f t="shared" si="12"/>
        <v/>
      </c>
    </row>
    <row r="798" spans="1:7">
      <c r="A798" s="1">
        <v>49437</v>
      </c>
      <c r="B798" t="s">
        <v>21</v>
      </c>
      <c r="C798">
        <v>22.8</v>
      </c>
      <c r="D798">
        <v>24.6</v>
      </c>
      <c r="E798" s="2">
        <f>C798*D798 / 100</f>
        <v>5.6087999999999996</v>
      </c>
      <c r="F798">
        <f>IF(F797 &lt; 7, F797 +1,1)</f>
        <v>6</v>
      </c>
      <c r="G798" t="str">
        <f t="shared" si="12"/>
        <v/>
      </c>
    </row>
    <row r="799" spans="1:7">
      <c r="A799" s="1">
        <v>49438</v>
      </c>
      <c r="B799" t="s">
        <v>10</v>
      </c>
      <c r="C799">
        <v>26.8</v>
      </c>
      <c r="D799">
        <v>7.5</v>
      </c>
      <c r="E799" s="2">
        <f>C799*D799 / 100</f>
        <v>2.0099999999999998</v>
      </c>
      <c r="F799">
        <f>IF(F798 &lt; 7, F798 +1,1)</f>
        <v>7</v>
      </c>
      <c r="G799">
        <f t="shared" si="12"/>
        <v>149.6</v>
      </c>
    </row>
    <row r="800" spans="1:7">
      <c r="A800" s="1">
        <v>49439</v>
      </c>
      <c r="B800" t="s">
        <v>36</v>
      </c>
      <c r="C800">
        <v>21.3</v>
      </c>
      <c r="D800">
        <v>37.700000000000003</v>
      </c>
      <c r="E800" s="2">
        <f>C800*D800 / 100</f>
        <v>8.0301000000000009</v>
      </c>
      <c r="F800">
        <f>IF(F799 &lt; 7, F799 +1,1)</f>
        <v>1</v>
      </c>
      <c r="G800" t="str">
        <f t="shared" si="12"/>
        <v/>
      </c>
    </row>
    <row r="801" spans="1:7">
      <c r="A801" s="1">
        <v>49440</v>
      </c>
      <c r="B801" t="s">
        <v>34</v>
      </c>
      <c r="C801">
        <v>20.3</v>
      </c>
      <c r="D801">
        <v>11</v>
      </c>
      <c r="E801" s="2">
        <f>C801*D801 / 100</f>
        <v>2.2330000000000001</v>
      </c>
      <c r="F801">
        <f>IF(F800 &lt; 7, F800 +1,1)</f>
        <v>2</v>
      </c>
      <c r="G801" t="str">
        <f t="shared" si="12"/>
        <v/>
      </c>
    </row>
    <row r="802" spans="1:7">
      <c r="A802" s="1">
        <v>49441</v>
      </c>
      <c r="B802" t="s">
        <v>36</v>
      </c>
      <c r="C802">
        <v>25.6</v>
      </c>
      <c r="D802">
        <v>20.100000000000001</v>
      </c>
      <c r="E802" s="2">
        <f>C802*D802 / 100</f>
        <v>5.1456000000000008</v>
      </c>
      <c r="F802">
        <f>IF(F801 &lt; 7, F801 +1,1)</f>
        <v>3</v>
      </c>
      <c r="G802" t="str">
        <f t="shared" si="12"/>
        <v/>
      </c>
    </row>
    <row r="803" spans="1:7">
      <c r="A803" s="1">
        <v>49442</v>
      </c>
      <c r="B803" t="s">
        <v>19</v>
      </c>
      <c r="C803">
        <v>25.1</v>
      </c>
      <c r="D803">
        <v>14.7</v>
      </c>
      <c r="E803" s="2">
        <f>C803*D803 / 100</f>
        <v>3.6897000000000002</v>
      </c>
      <c r="F803">
        <f>IF(F802 &lt; 7, F802 +1,1)</f>
        <v>4</v>
      </c>
      <c r="G803" t="str">
        <f t="shared" si="12"/>
        <v/>
      </c>
    </row>
    <row r="804" spans="1:7">
      <c r="A804" s="1">
        <v>49443</v>
      </c>
      <c r="B804" t="s">
        <v>16</v>
      </c>
      <c r="C804">
        <v>24.3</v>
      </c>
      <c r="D804">
        <v>24.3</v>
      </c>
      <c r="E804" s="2">
        <f>C804*D804 / 100</f>
        <v>5.9049000000000005</v>
      </c>
      <c r="F804">
        <f>IF(F803 &lt; 7, F803 +1,1)</f>
        <v>5</v>
      </c>
      <c r="G804" t="str">
        <f t="shared" si="12"/>
        <v/>
      </c>
    </row>
    <row r="805" spans="1:7">
      <c r="A805" s="1">
        <v>49444</v>
      </c>
      <c r="B805" t="s">
        <v>11</v>
      </c>
      <c r="C805">
        <v>12.9</v>
      </c>
      <c r="D805">
        <v>2.7</v>
      </c>
      <c r="E805" s="2">
        <f>C805*D805 / 100</f>
        <v>0.34830000000000005</v>
      </c>
      <c r="F805">
        <f>IF(F804 &lt; 7, F804 +1,1)</f>
        <v>6</v>
      </c>
      <c r="G805" t="str">
        <f t="shared" si="12"/>
        <v/>
      </c>
    </row>
    <row r="806" spans="1:7">
      <c r="A806" s="1">
        <v>49445</v>
      </c>
      <c r="B806" t="s">
        <v>36</v>
      </c>
      <c r="C806">
        <v>16.7</v>
      </c>
      <c r="D806">
        <v>27.7</v>
      </c>
      <c r="E806" s="2">
        <f>C806*D806 / 100</f>
        <v>4.6258999999999997</v>
      </c>
      <c r="F806">
        <f>IF(F805 &lt; 7, F805 +1,1)</f>
        <v>7</v>
      </c>
      <c r="G806">
        <f t="shared" si="12"/>
        <v>146.19999999999999</v>
      </c>
    </row>
    <row r="807" spans="1:7">
      <c r="A807" s="1">
        <v>49446</v>
      </c>
      <c r="B807" t="s">
        <v>21</v>
      </c>
      <c r="C807">
        <v>16.2</v>
      </c>
      <c r="D807">
        <v>20.5</v>
      </c>
      <c r="E807" s="2">
        <f>C807*D807 / 100</f>
        <v>3.3209999999999997</v>
      </c>
      <c r="F807">
        <f>IF(F806 &lt; 7, F806 +1,1)</f>
        <v>1</v>
      </c>
      <c r="G807" t="str">
        <f t="shared" si="12"/>
        <v/>
      </c>
    </row>
    <row r="808" spans="1:7">
      <c r="A808" s="1">
        <v>49447</v>
      </c>
      <c r="B808" t="s">
        <v>34</v>
      </c>
      <c r="C808">
        <v>19.5</v>
      </c>
      <c r="D808">
        <v>5.0999999999999996</v>
      </c>
      <c r="E808" s="2">
        <f>C808*D808 / 100</f>
        <v>0.99449999999999994</v>
      </c>
      <c r="F808">
        <f>IF(F807 &lt; 7, F807 +1,1)</f>
        <v>2</v>
      </c>
      <c r="G808" t="str">
        <f t="shared" si="12"/>
        <v/>
      </c>
    </row>
    <row r="809" spans="1:7">
      <c r="A809" s="1">
        <v>49448</v>
      </c>
      <c r="B809" t="s">
        <v>21</v>
      </c>
      <c r="C809">
        <v>22.9</v>
      </c>
      <c r="D809">
        <v>6.6</v>
      </c>
      <c r="E809" s="2">
        <f>C809*D809 / 100</f>
        <v>1.5113999999999999</v>
      </c>
      <c r="F809">
        <f>IF(F808 &lt; 7, F808 +1,1)</f>
        <v>3</v>
      </c>
      <c r="G809" t="str">
        <f t="shared" si="12"/>
        <v/>
      </c>
    </row>
    <row r="810" spans="1:7">
      <c r="A810" s="1">
        <v>49449</v>
      </c>
      <c r="B810" t="s">
        <v>36</v>
      </c>
      <c r="C810">
        <v>25.9</v>
      </c>
      <c r="D810">
        <v>4.4000000000000004</v>
      </c>
      <c r="E810" s="2">
        <f>C810*D810 / 100</f>
        <v>1.1396000000000002</v>
      </c>
      <c r="F810">
        <f>IF(F809 &lt; 7, F809 +1,1)</f>
        <v>4</v>
      </c>
      <c r="G810" t="str">
        <f t="shared" si="12"/>
        <v/>
      </c>
    </row>
    <row r="811" spans="1:7">
      <c r="A811" s="1">
        <v>49450</v>
      </c>
      <c r="B811" t="s">
        <v>29</v>
      </c>
      <c r="C811">
        <v>20.3</v>
      </c>
      <c r="D811">
        <v>4.5999999999999996</v>
      </c>
      <c r="E811" s="2">
        <f>C811*D811 / 100</f>
        <v>0.93379999999999996</v>
      </c>
      <c r="F811">
        <f>IF(F810 &lt; 7, F810 +1,1)</f>
        <v>5</v>
      </c>
      <c r="G811" t="str">
        <f t="shared" si="12"/>
        <v/>
      </c>
    </row>
    <row r="812" spans="1:7">
      <c r="A812" s="1">
        <v>49451</v>
      </c>
      <c r="B812" t="s">
        <v>5</v>
      </c>
      <c r="C812">
        <v>11.3</v>
      </c>
      <c r="D812">
        <v>0.3</v>
      </c>
      <c r="E812" s="2">
        <f>C812*D812 / 100</f>
        <v>3.39E-2</v>
      </c>
      <c r="F812">
        <f>IF(F811 &lt; 7, F811 +1,1)</f>
        <v>6</v>
      </c>
      <c r="G812" t="str">
        <f t="shared" si="12"/>
        <v/>
      </c>
    </row>
    <row r="813" spans="1:7">
      <c r="A813" s="1">
        <v>49452</v>
      </c>
      <c r="B813" t="s">
        <v>21</v>
      </c>
      <c r="C813">
        <v>27.4</v>
      </c>
      <c r="D813">
        <v>29.9</v>
      </c>
      <c r="E813" s="2">
        <f>C813*D813 / 100</f>
        <v>8.1925999999999988</v>
      </c>
      <c r="F813">
        <f>IF(F812 &lt; 7, F812 +1,1)</f>
        <v>7</v>
      </c>
      <c r="G813">
        <f t="shared" si="12"/>
        <v>143.5</v>
      </c>
    </row>
    <row r="814" spans="1:7">
      <c r="A814" s="1">
        <v>49453</v>
      </c>
      <c r="B814" t="s">
        <v>36</v>
      </c>
      <c r="C814">
        <v>29.2</v>
      </c>
      <c r="D814">
        <v>0</v>
      </c>
      <c r="E814" s="2">
        <f>C814*D814 / 100</f>
        <v>0</v>
      </c>
      <c r="F814">
        <f>IF(F813 &lt; 7, F813 +1,1)</f>
        <v>1</v>
      </c>
      <c r="G814" t="str">
        <f t="shared" si="12"/>
        <v/>
      </c>
    </row>
    <row r="815" spans="1:7">
      <c r="A815" s="1">
        <v>49454</v>
      </c>
      <c r="B815" t="s">
        <v>15</v>
      </c>
      <c r="C815">
        <v>27.4</v>
      </c>
      <c r="D815">
        <v>0</v>
      </c>
      <c r="E815" s="2">
        <f>C815*D815 / 100</f>
        <v>0</v>
      </c>
      <c r="F815">
        <f>IF(F814 &lt; 7, F814 +1,1)</f>
        <v>2</v>
      </c>
      <c r="G815" t="str">
        <f t="shared" si="12"/>
        <v/>
      </c>
    </row>
    <row r="816" spans="1:7">
      <c r="A816" s="1">
        <v>49455</v>
      </c>
      <c r="B816" t="s">
        <v>36</v>
      </c>
      <c r="C816">
        <v>10.1</v>
      </c>
      <c r="D816">
        <v>8.1</v>
      </c>
      <c r="E816" s="2">
        <f>C816*D816 / 100</f>
        <v>0.81809999999999983</v>
      </c>
      <c r="F816">
        <f>IF(F815 &lt; 7, F815 +1,1)</f>
        <v>3</v>
      </c>
      <c r="G816" t="str">
        <f t="shared" si="12"/>
        <v/>
      </c>
    </row>
    <row r="817" spans="1:7">
      <c r="A817" s="1">
        <v>49456</v>
      </c>
      <c r="B817" t="s">
        <v>10</v>
      </c>
      <c r="C817">
        <v>12.9</v>
      </c>
      <c r="D817">
        <v>5.9</v>
      </c>
      <c r="E817" s="2">
        <f>C817*D817 / 100</f>
        <v>0.76110000000000011</v>
      </c>
      <c r="F817">
        <f>IF(F816 &lt; 7, F816 +1,1)</f>
        <v>4</v>
      </c>
      <c r="G817" t="str">
        <f t="shared" si="12"/>
        <v/>
      </c>
    </row>
    <row r="818" spans="1:7">
      <c r="A818" s="1">
        <v>49457</v>
      </c>
      <c r="B818" t="s">
        <v>11</v>
      </c>
      <c r="C818">
        <v>18.7</v>
      </c>
      <c r="D818">
        <v>0</v>
      </c>
      <c r="E818" s="2">
        <f>C818*D818 / 100</f>
        <v>0</v>
      </c>
      <c r="F818">
        <f>IF(F817 &lt; 7, F817 +1,1)</f>
        <v>5</v>
      </c>
      <c r="G818" t="str">
        <f t="shared" si="12"/>
        <v/>
      </c>
    </row>
    <row r="819" spans="1:7">
      <c r="A819" s="1">
        <v>49458</v>
      </c>
      <c r="B819" t="s">
        <v>27</v>
      </c>
      <c r="C819">
        <v>17.8</v>
      </c>
      <c r="D819">
        <v>0.3</v>
      </c>
      <c r="E819" s="2">
        <f>C819*D819 / 100</f>
        <v>5.3399999999999996E-2</v>
      </c>
      <c r="F819">
        <f>IF(F818 &lt; 7, F818 +1,1)</f>
        <v>6</v>
      </c>
      <c r="G819" t="str">
        <f t="shared" si="12"/>
        <v/>
      </c>
    </row>
    <row r="820" spans="1:7">
      <c r="A820" s="1">
        <v>49459</v>
      </c>
      <c r="B820" t="s">
        <v>21</v>
      </c>
      <c r="C820">
        <v>24.7</v>
      </c>
      <c r="D820">
        <v>42.9</v>
      </c>
      <c r="E820" s="2">
        <f>C820*D820 / 100</f>
        <v>10.596299999999999</v>
      </c>
      <c r="F820">
        <f>IF(F819 &lt; 7, F819 +1,1)</f>
        <v>7</v>
      </c>
      <c r="G820">
        <f t="shared" si="12"/>
        <v>140.79999999999998</v>
      </c>
    </row>
    <row r="821" spans="1:7">
      <c r="A821" s="1">
        <v>49460</v>
      </c>
      <c r="B821" t="s">
        <v>21</v>
      </c>
      <c r="C821">
        <v>28.7</v>
      </c>
      <c r="D821">
        <v>33.799999999999997</v>
      </c>
      <c r="E821" s="2">
        <f>C821*D821 / 100</f>
        <v>9.7005999999999997</v>
      </c>
      <c r="F821">
        <f>IF(F820 &lt; 7, F820 +1,1)</f>
        <v>1</v>
      </c>
      <c r="G821" t="str">
        <f t="shared" si="12"/>
        <v/>
      </c>
    </row>
    <row r="822" spans="1:7">
      <c r="A822" s="1">
        <v>49461</v>
      </c>
      <c r="B822" t="s">
        <v>29</v>
      </c>
      <c r="C822">
        <v>12.3</v>
      </c>
      <c r="D822">
        <v>1.7</v>
      </c>
      <c r="E822" s="2">
        <f>C822*D822 / 100</f>
        <v>0.20910000000000001</v>
      </c>
      <c r="F822">
        <f>IF(F821 &lt; 7, F821 +1,1)</f>
        <v>2</v>
      </c>
      <c r="G822" t="str">
        <f t="shared" si="12"/>
        <v/>
      </c>
    </row>
    <row r="823" spans="1:7">
      <c r="A823" s="1">
        <v>49462</v>
      </c>
      <c r="B823" t="s">
        <v>36</v>
      </c>
      <c r="C823">
        <v>22.9</v>
      </c>
      <c r="D823">
        <v>0</v>
      </c>
      <c r="E823" s="2">
        <f>C823*D823 / 100</f>
        <v>0</v>
      </c>
      <c r="F823">
        <f>IF(F822 &lt; 7, F822 +1,1)</f>
        <v>3</v>
      </c>
      <c r="G823" t="str">
        <f t="shared" si="12"/>
        <v/>
      </c>
    </row>
    <row r="824" spans="1:7">
      <c r="A824" s="1">
        <v>49463</v>
      </c>
      <c r="B824" t="s">
        <v>23</v>
      </c>
      <c r="C824">
        <v>20</v>
      </c>
      <c r="D824">
        <v>3</v>
      </c>
      <c r="E824" s="2">
        <f>C824*D824 / 100</f>
        <v>0.6</v>
      </c>
      <c r="F824">
        <f>IF(F823 &lt; 7, F823 +1,1)</f>
        <v>4</v>
      </c>
      <c r="G824" t="str">
        <f t="shared" si="12"/>
        <v/>
      </c>
    </row>
    <row r="825" spans="1:7">
      <c r="A825" s="1">
        <v>49464</v>
      </c>
      <c r="B825" t="s">
        <v>21</v>
      </c>
      <c r="C825">
        <v>27.3</v>
      </c>
      <c r="D825">
        <v>0</v>
      </c>
      <c r="E825" s="2">
        <f>C825*D825 / 100</f>
        <v>0</v>
      </c>
      <c r="F825">
        <f>IF(F824 &lt; 7, F824 +1,1)</f>
        <v>5</v>
      </c>
      <c r="G825" t="str">
        <f t="shared" si="12"/>
        <v/>
      </c>
    </row>
    <row r="826" spans="1:7">
      <c r="A826" s="1">
        <v>49465</v>
      </c>
      <c r="B826" t="s">
        <v>19</v>
      </c>
      <c r="C826">
        <v>29.9</v>
      </c>
      <c r="D826">
        <v>7.7</v>
      </c>
      <c r="E826" s="2">
        <f>C826*D826 / 100</f>
        <v>2.3022999999999998</v>
      </c>
      <c r="F826">
        <f>IF(F825 &lt; 7, F825 +1,1)</f>
        <v>6</v>
      </c>
      <c r="G826" t="str">
        <f t="shared" si="12"/>
        <v/>
      </c>
    </row>
    <row r="827" spans="1:7">
      <c r="A827" s="1">
        <v>49466</v>
      </c>
      <c r="B827" t="s">
        <v>34</v>
      </c>
      <c r="C827">
        <v>27.5</v>
      </c>
      <c r="D827">
        <v>2.7</v>
      </c>
      <c r="E827" s="2">
        <f>C827*D827 / 100</f>
        <v>0.74250000000000005</v>
      </c>
      <c r="F827">
        <f>IF(F826 &lt; 7, F826 +1,1)</f>
        <v>7</v>
      </c>
      <c r="G827">
        <f t="shared" si="12"/>
        <v>168.6</v>
      </c>
    </row>
    <row r="828" spans="1:7">
      <c r="A828" s="1">
        <v>49467</v>
      </c>
      <c r="B828" t="s">
        <v>29</v>
      </c>
      <c r="C828">
        <v>16.5</v>
      </c>
      <c r="D828">
        <v>13.3</v>
      </c>
      <c r="E828" s="2">
        <f>C828*D828 / 100</f>
        <v>2.1945000000000001</v>
      </c>
      <c r="F828">
        <f>IF(F827 &lt; 7, F827 +1,1)</f>
        <v>1</v>
      </c>
      <c r="G828" t="str">
        <f t="shared" si="12"/>
        <v/>
      </c>
    </row>
    <row r="829" spans="1:7">
      <c r="A829" s="1">
        <v>49468</v>
      </c>
      <c r="B829" t="s">
        <v>10</v>
      </c>
      <c r="C829">
        <v>23.5</v>
      </c>
      <c r="D829">
        <v>5.9</v>
      </c>
      <c r="E829" s="2">
        <f>C829*D829 / 100</f>
        <v>1.3865000000000001</v>
      </c>
      <c r="F829">
        <f>IF(F828 &lt; 7, F828 +1,1)</f>
        <v>2</v>
      </c>
      <c r="G829" t="str">
        <f t="shared" si="12"/>
        <v/>
      </c>
    </row>
    <row r="830" spans="1:7">
      <c r="A830" s="1">
        <v>49469</v>
      </c>
      <c r="B830" t="s">
        <v>10</v>
      </c>
      <c r="C830">
        <v>21.5</v>
      </c>
      <c r="D830">
        <v>4.0999999999999996</v>
      </c>
      <c r="E830" s="2">
        <f>C830*D830 / 100</f>
        <v>0.88149999999999995</v>
      </c>
      <c r="F830">
        <f>IF(F829 &lt; 7, F829 +1,1)</f>
        <v>3</v>
      </c>
      <c r="G830" t="str">
        <f t="shared" si="12"/>
        <v/>
      </c>
    </row>
    <row r="831" spans="1:7">
      <c r="A831" s="1">
        <v>49470</v>
      </c>
      <c r="B831" t="s">
        <v>33</v>
      </c>
      <c r="C831">
        <v>10.3</v>
      </c>
      <c r="D831">
        <v>15.6</v>
      </c>
      <c r="E831" s="2">
        <f>C831*D831 / 100</f>
        <v>1.6068</v>
      </c>
      <c r="F831">
        <f>IF(F830 &lt; 7, F830 +1,1)</f>
        <v>4</v>
      </c>
      <c r="G831" t="str">
        <f t="shared" si="12"/>
        <v/>
      </c>
    </row>
    <row r="832" spans="1:7">
      <c r="A832" s="1">
        <v>49471</v>
      </c>
      <c r="B832" t="s">
        <v>21</v>
      </c>
      <c r="C832">
        <v>15</v>
      </c>
      <c r="D832">
        <v>0</v>
      </c>
      <c r="E832" s="2">
        <f>C832*D832 / 100</f>
        <v>0</v>
      </c>
      <c r="F832">
        <f>IF(F831 &lt; 7, F831 +1,1)</f>
        <v>5</v>
      </c>
      <c r="G832" t="str">
        <f t="shared" si="12"/>
        <v/>
      </c>
    </row>
    <row r="833" spans="1:7">
      <c r="A833" s="1">
        <v>49472</v>
      </c>
      <c r="B833" t="s">
        <v>30</v>
      </c>
      <c r="C833">
        <v>23.3</v>
      </c>
      <c r="D833">
        <v>5.3</v>
      </c>
      <c r="E833" s="2">
        <f>C833*D833 / 100</f>
        <v>1.2348999999999999</v>
      </c>
      <c r="F833">
        <f>IF(F832 &lt; 7, F832 +1,1)</f>
        <v>6</v>
      </c>
      <c r="G833" t="str">
        <f t="shared" si="12"/>
        <v/>
      </c>
    </row>
    <row r="834" spans="1:7">
      <c r="A834" s="1">
        <v>49473</v>
      </c>
      <c r="B834" t="s">
        <v>33</v>
      </c>
      <c r="C834">
        <v>10.5</v>
      </c>
      <c r="D834">
        <v>14.4</v>
      </c>
      <c r="E834" s="2">
        <f>C834*D834 / 100</f>
        <v>1.5120000000000002</v>
      </c>
      <c r="F834">
        <f>IF(F833 &lt; 7, F833 +1,1)</f>
        <v>7</v>
      </c>
      <c r="G834">
        <f t="shared" si="12"/>
        <v>120.6</v>
      </c>
    </row>
    <row r="835" spans="1:7">
      <c r="A835" s="1">
        <v>49474</v>
      </c>
      <c r="B835" t="s">
        <v>21</v>
      </c>
      <c r="C835">
        <v>18.5</v>
      </c>
      <c r="D835">
        <v>0</v>
      </c>
      <c r="E835" s="2">
        <f>C835*D835 / 100</f>
        <v>0</v>
      </c>
      <c r="F835">
        <f>IF(F834 &lt; 7, F834 +1,1)</f>
        <v>1</v>
      </c>
      <c r="G835" t="str">
        <f t="shared" si="12"/>
        <v/>
      </c>
    </row>
    <row r="836" spans="1:7">
      <c r="A836" s="1">
        <v>49475</v>
      </c>
      <c r="B836" t="s">
        <v>11</v>
      </c>
      <c r="C836">
        <v>20.2</v>
      </c>
      <c r="D836">
        <v>5.4</v>
      </c>
      <c r="E836" s="2">
        <f>C836*D836 / 100</f>
        <v>1.0908</v>
      </c>
      <c r="F836">
        <f>IF(F835 &lt; 7, F835 +1,1)</f>
        <v>2</v>
      </c>
      <c r="G836" t="str">
        <f t="shared" si="12"/>
        <v/>
      </c>
    </row>
    <row r="837" spans="1:7">
      <c r="A837" s="1">
        <v>49476</v>
      </c>
      <c r="B837" t="s">
        <v>6</v>
      </c>
      <c r="C837">
        <v>29</v>
      </c>
      <c r="D837">
        <v>4.2</v>
      </c>
      <c r="E837" s="2">
        <f>C837*D837 / 100</f>
        <v>1.2180000000000002</v>
      </c>
      <c r="F837">
        <f>IF(F836 &lt; 7, F836 +1,1)</f>
        <v>3</v>
      </c>
      <c r="G837" t="str">
        <f t="shared" si="12"/>
        <v/>
      </c>
    </row>
    <row r="838" spans="1:7">
      <c r="A838" s="1">
        <v>49477</v>
      </c>
      <c r="B838" t="s">
        <v>33</v>
      </c>
      <c r="C838">
        <v>12.1</v>
      </c>
      <c r="D838">
        <v>18.100000000000001</v>
      </c>
      <c r="E838" s="2">
        <f>C838*D838 / 100</f>
        <v>2.1901000000000002</v>
      </c>
      <c r="F838">
        <f>IF(F837 &lt; 7, F837 +1,1)</f>
        <v>4</v>
      </c>
      <c r="G838" t="str">
        <f t="shared" si="12"/>
        <v/>
      </c>
    </row>
    <row r="839" spans="1:7">
      <c r="A839" s="1">
        <v>49478</v>
      </c>
      <c r="B839" t="s">
        <v>19</v>
      </c>
      <c r="C839">
        <v>14.1</v>
      </c>
      <c r="D839">
        <v>5.6</v>
      </c>
      <c r="E839" s="2">
        <f>C839*D839 / 100</f>
        <v>0.78959999999999997</v>
      </c>
      <c r="F839">
        <f>IF(F838 &lt; 7, F838 +1,1)</f>
        <v>5</v>
      </c>
      <c r="G839" t="str">
        <f t="shared" si="12"/>
        <v/>
      </c>
    </row>
    <row r="840" spans="1:7">
      <c r="A840" s="1">
        <v>49479</v>
      </c>
      <c r="B840" t="s">
        <v>21</v>
      </c>
      <c r="C840">
        <v>19.5</v>
      </c>
      <c r="D840">
        <v>2.7</v>
      </c>
      <c r="E840" s="2">
        <f>C840*D840 / 100</f>
        <v>0.52650000000000008</v>
      </c>
      <c r="F840">
        <f>IF(F839 &lt; 7, F839 +1,1)</f>
        <v>6</v>
      </c>
      <c r="G840" t="str">
        <f t="shared" si="12"/>
        <v/>
      </c>
    </row>
    <row r="841" spans="1:7">
      <c r="A841" s="1">
        <v>49480</v>
      </c>
      <c r="B841" t="s">
        <v>14</v>
      </c>
      <c r="C841">
        <v>28.7</v>
      </c>
      <c r="D841">
        <v>0.3</v>
      </c>
      <c r="E841" s="2">
        <f>C841*D841 / 100</f>
        <v>8.6099999999999996E-2</v>
      </c>
      <c r="F841">
        <f>IF(F840 &lt; 7, F840 +1,1)</f>
        <v>7</v>
      </c>
      <c r="G841">
        <f t="shared" ref="G841:G904" si="13">IF(F841=7, SUM(C835:C841), "")</f>
        <v>142.1</v>
      </c>
    </row>
    <row r="842" spans="1:7">
      <c r="A842" s="1">
        <v>49481</v>
      </c>
      <c r="B842" t="s">
        <v>36</v>
      </c>
      <c r="C842">
        <v>20.3</v>
      </c>
      <c r="D842">
        <v>15</v>
      </c>
      <c r="E842" s="2">
        <f>C842*D842 / 100</f>
        <v>3.0449999999999999</v>
      </c>
      <c r="F842">
        <f>IF(F841 &lt; 7, F841 +1,1)</f>
        <v>1</v>
      </c>
      <c r="G842" t="str">
        <f t="shared" si="13"/>
        <v/>
      </c>
    </row>
    <row r="843" spans="1:7">
      <c r="A843" s="1">
        <v>49482</v>
      </c>
      <c r="B843" t="s">
        <v>16</v>
      </c>
      <c r="C843">
        <v>25.9</v>
      </c>
      <c r="D843">
        <v>4.7</v>
      </c>
      <c r="E843" s="2">
        <f>C843*D843 / 100</f>
        <v>1.2173</v>
      </c>
      <c r="F843">
        <f>IF(F842 &lt; 7, F842 +1,1)</f>
        <v>2</v>
      </c>
      <c r="G843" t="str">
        <f t="shared" si="13"/>
        <v/>
      </c>
    </row>
    <row r="844" spans="1:7">
      <c r="A844" s="1">
        <v>49483</v>
      </c>
      <c r="B844" t="s">
        <v>16</v>
      </c>
      <c r="C844">
        <v>25.3</v>
      </c>
      <c r="D844">
        <v>0</v>
      </c>
      <c r="E844" s="2">
        <f>C844*D844 / 100</f>
        <v>0</v>
      </c>
      <c r="F844">
        <f>IF(F843 &lt; 7, F843 +1,1)</f>
        <v>3</v>
      </c>
      <c r="G844" t="str">
        <f t="shared" si="13"/>
        <v/>
      </c>
    </row>
    <row r="845" spans="1:7">
      <c r="A845" s="1">
        <v>49484</v>
      </c>
      <c r="B845" t="s">
        <v>18</v>
      </c>
      <c r="C845">
        <v>22.8</v>
      </c>
      <c r="D845">
        <v>0.6</v>
      </c>
      <c r="E845" s="2">
        <f>C845*D845 / 100</f>
        <v>0.1368</v>
      </c>
      <c r="F845">
        <f>IF(F844 &lt; 7, F844 +1,1)</f>
        <v>4</v>
      </c>
      <c r="G845" t="str">
        <f t="shared" si="13"/>
        <v/>
      </c>
    </row>
    <row r="846" spans="1:7">
      <c r="A846" s="1">
        <v>49485</v>
      </c>
      <c r="B846" t="s">
        <v>24</v>
      </c>
      <c r="C846">
        <v>28.4</v>
      </c>
      <c r="D846">
        <v>2.2999999999999998</v>
      </c>
      <c r="E846" s="2">
        <f>C846*D846 / 100</f>
        <v>0.65319999999999989</v>
      </c>
      <c r="F846">
        <f>IF(F845 &lt; 7, F845 +1,1)</f>
        <v>5</v>
      </c>
      <c r="G846" t="str">
        <f t="shared" si="13"/>
        <v/>
      </c>
    </row>
    <row r="847" spans="1:7">
      <c r="A847" s="1">
        <v>49486</v>
      </c>
      <c r="B847" t="s">
        <v>24</v>
      </c>
      <c r="C847">
        <v>29.7</v>
      </c>
      <c r="D847">
        <v>0</v>
      </c>
      <c r="E847" s="2">
        <f>C847*D847 / 100</f>
        <v>0</v>
      </c>
      <c r="F847">
        <f>IF(F846 &lt; 7, F846 +1,1)</f>
        <v>6</v>
      </c>
      <c r="G847" t="str">
        <f t="shared" si="13"/>
        <v/>
      </c>
    </row>
    <row r="848" spans="1:7">
      <c r="A848" s="1">
        <v>49487</v>
      </c>
      <c r="B848" t="s">
        <v>33</v>
      </c>
      <c r="C848">
        <v>11.7</v>
      </c>
      <c r="D848">
        <v>6.4</v>
      </c>
      <c r="E848" s="2">
        <f>C848*D848 / 100</f>
        <v>0.74879999999999991</v>
      </c>
      <c r="F848">
        <f>IF(F847 &lt; 7, F847 +1,1)</f>
        <v>7</v>
      </c>
      <c r="G848">
        <f t="shared" si="13"/>
        <v>164.09999999999997</v>
      </c>
    </row>
    <row r="849" spans="1:7">
      <c r="A849" s="1">
        <v>49488</v>
      </c>
      <c r="B849" t="s">
        <v>24</v>
      </c>
      <c r="C849">
        <v>12.8</v>
      </c>
      <c r="D849">
        <v>6.9</v>
      </c>
      <c r="E849" s="2">
        <f>C849*D849 / 100</f>
        <v>0.8832000000000001</v>
      </c>
      <c r="F849">
        <f>IF(F848 &lt; 7, F848 +1,1)</f>
        <v>1</v>
      </c>
      <c r="G849" t="str">
        <f t="shared" si="13"/>
        <v/>
      </c>
    </row>
    <row r="850" spans="1:7">
      <c r="A850" s="1">
        <v>49489</v>
      </c>
      <c r="B850" t="s">
        <v>21</v>
      </c>
      <c r="C850">
        <v>11</v>
      </c>
      <c r="D850">
        <v>0</v>
      </c>
      <c r="E850" s="2">
        <f>C850*D850 / 100</f>
        <v>0</v>
      </c>
      <c r="F850">
        <f>IF(F849 &lt; 7, F849 +1,1)</f>
        <v>2</v>
      </c>
      <c r="G850" t="str">
        <f t="shared" si="13"/>
        <v/>
      </c>
    </row>
    <row r="851" spans="1:7">
      <c r="A851" s="1">
        <v>49490</v>
      </c>
      <c r="B851" t="s">
        <v>32</v>
      </c>
      <c r="C851">
        <v>14.7</v>
      </c>
      <c r="D851">
        <v>0.5</v>
      </c>
      <c r="E851" s="2">
        <f>C851*D851 / 100</f>
        <v>7.3499999999999996E-2</v>
      </c>
      <c r="F851">
        <f>IF(F850 &lt; 7, F850 +1,1)</f>
        <v>3</v>
      </c>
      <c r="G851" t="str">
        <f t="shared" si="13"/>
        <v/>
      </c>
    </row>
    <row r="852" spans="1:7">
      <c r="A852" s="1">
        <v>49491</v>
      </c>
      <c r="B852" t="s">
        <v>12</v>
      </c>
      <c r="C852">
        <v>13.2</v>
      </c>
      <c r="D852">
        <v>2.5</v>
      </c>
      <c r="E852" s="2">
        <f>C852*D852 / 100</f>
        <v>0.33</v>
      </c>
      <c r="F852">
        <f>IF(F851 &lt; 7, F851 +1,1)</f>
        <v>4</v>
      </c>
      <c r="G852" t="str">
        <f t="shared" si="13"/>
        <v/>
      </c>
    </row>
    <row r="853" spans="1:7">
      <c r="A853" s="1">
        <v>49492</v>
      </c>
      <c r="B853" t="s">
        <v>12</v>
      </c>
      <c r="C853">
        <v>28</v>
      </c>
      <c r="D853">
        <v>3.8</v>
      </c>
      <c r="E853" s="2">
        <f>C853*D853 / 100</f>
        <v>1.0639999999999998</v>
      </c>
      <c r="F853">
        <f>IF(F852 &lt; 7, F852 +1,1)</f>
        <v>5</v>
      </c>
      <c r="G853" t="str">
        <f t="shared" si="13"/>
        <v/>
      </c>
    </row>
    <row r="854" spans="1:7">
      <c r="A854" s="1">
        <v>49493</v>
      </c>
      <c r="B854" t="s">
        <v>9</v>
      </c>
      <c r="C854">
        <v>27.5</v>
      </c>
      <c r="D854">
        <v>10.3</v>
      </c>
      <c r="E854" s="2">
        <f>C854*D854 / 100</f>
        <v>2.8325</v>
      </c>
      <c r="F854">
        <f>IF(F853 &lt; 7, F853 +1,1)</f>
        <v>6</v>
      </c>
      <c r="G854" t="str">
        <f t="shared" si="13"/>
        <v/>
      </c>
    </row>
    <row r="855" spans="1:7">
      <c r="A855" s="1">
        <v>49494</v>
      </c>
      <c r="B855" t="s">
        <v>12</v>
      </c>
      <c r="C855">
        <v>12.1</v>
      </c>
      <c r="D855">
        <v>4.7</v>
      </c>
      <c r="E855" s="2">
        <f>C855*D855 / 100</f>
        <v>0.56869999999999998</v>
      </c>
      <c r="F855">
        <f>IF(F854 &lt; 7, F854 +1,1)</f>
        <v>7</v>
      </c>
      <c r="G855">
        <f t="shared" si="13"/>
        <v>119.3</v>
      </c>
    </row>
    <row r="856" spans="1:7">
      <c r="A856" s="1">
        <v>49495</v>
      </c>
      <c r="B856" t="s">
        <v>33</v>
      </c>
      <c r="C856">
        <v>24.7</v>
      </c>
      <c r="D856">
        <v>7.2</v>
      </c>
      <c r="E856" s="2">
        <f>C856*D856 / 100</f>
        <v>1.7784</v>
      </c>
      <c r="F856">
        <f>IF(F855 &lt; 7, F855 +1,1)</f>
        <v>1</v>
      </c>
      <c r="G856" t="str">
        <f t="shared" si="13"/>
        <v/>
      </c>
    </row>
    <row r="857" spans="1:7">
      <c r="A857" s="1">
        <v>49496</v>
      </c>
      <c r="B857" t="s">
        <v>35</v>
      </c>
      <c r="C857">
        <v>27.1</v>
      </c>
      <c r="D857">
        <v>2.6</v>
      </c>
      <c r="E857" s="2">
        <f>C857*D857 / 100</f>
        <v>0.70460000000000012</v>
      </c>
      <c r="F857">
        <f>IF(F856 &lt; 7, F856 +1,1)</f>
        <v>2</v>
      </c>
      <c r="G857" t="str">
        <f t="shared" si="13"/>
        <v/>
      </c>
    </row>
    <row r="858" spans="1:7">
      <c r="A858" s="1">
        <v>49497</v>
      </c>
      <c r="B858" t="s">
        <v>16</v>
      </c>
      <c r="C858">
        <v>28.7</v>
      </c>
      <c r="D858">
        <v>3</v>
      </c>
      <c r="E858" s="2">
        <f>C858*D858 / 100</f>
        <v>0.86099999999999999</v>
      </c>
      <c r="F858">
        <f>IF(F857 &lt; 7, F857 +1,1)</f>
        <v>3</v>
      </c>
      <c r="G858" t="str">
        <f t="shared" si="13"/>
        <v/>
      </c>
    </row>
    <row r="859" spans="1:7">
      <c r="A859" s="1">
        <v>49498</v>
      </c>
      <c r="B859" t="s">
        <v>21</v>
      </c>
      <c r="C859">
        <v>15</v>
      </c>
      <c r="D859">
        <v>21.4</v>
      </c>
      <c r="E859" s="2">
        <f>C859*D859 / 100</f>
        <v>3.21</v>
      </c>
      <c r="F859">
        <f>IF(F858 &lt; 7, F858 +1,1)</f>
        <v>4</v>
      </c>
      <c r="G859" t="str">
        <f t="shared" si="13"/>
        <v/>
      </c>
    </row>
    <row r="860" spans="1:7">
      <c r="A860" s="1">
        <v>49499</v>
      </c>
      <c r="B860" t="s">
        <v>9</v>
      </c>
      <c r="C860">
        <v>11.6</v>
      </c>
      <c r="D860">
        <v>3.7</v>
      </c>
      <c r="E860" s="2">
        <f>C860*D860 / 100</f>
        <v>0.42920000000000003</v>
      </c>
      <c r="F860">
        <f>IF(F859 &lt; 7, F859 +1,1)</f>
        <v>5</v>
      </c>
      <c r="G860" t="str">
        <f t="shared" si="13"/>
        <v/>
      </c>
    </row>
    <row r="861" spans="1:7">
      <c r="A861" s="1">
        <v>49500</v>
      </c>
      <c r="B861" t="s">
        <v>21</v>
      </c>
      <c r="C861">
        <v>13.1</v>
      </c>
      <c r="D861">
        <v>0</v>
      </c>
      <c r="E861" s="2">
        <f>C861*D861 / 100</f>
        <v>0</v>
      </c>
      <c r="F861">
        <f>IF(F860 &lt; 7, F860 +1,1)</f>
        <v>6</v>
      </c>
      <c r="G861" t="str">
        <f t="shared" si="13"/>
        <v/>
      </c>
    </row>
    <row r="862" spans="1:7">
      <c r="A862" s="1">
        <v>49501</v>
      </c>
      <c r="B862" t="s">
        <v>12</v>
      </c>
      <c r="C862">
        <v>25.5</v>
      </c>
      <c r="D862">
        <v>0</v>
      </c>
      <c r="E862" s="2">
        <f>C862*D862 / 100</f>
        <v>0</v>
      </c>
      <c r="F862">
        <f>IF(F861 &lt; 7, F861 +1,1)</f>
        <v>7</v>
      </c>
      <c r="G862">
        <f t="shared" si="13"/>
        <v>145.69999999999999</v>
      </c>
    </row>
    <row r="863" spans="1:7">
      <c r="A863" s="1">
        <v>49502</v>
      </c>
      <c r="B863" t="s">
        <v>5</v>
      </c>
      <c r="C863">
        <v>19.399999999999999</v>
      </c>
      <c r="D863">
        <v>0.7</v>
      </c>
      <c r="E863" s="2">
        <f>C863*D863 / 100</f>
        <v>0.13579999999999998</v>
      </c>
      <c r="F863">
        <f>IF(F862 &lt; 7, F862 +1,1)</f>
        <v>1</v>
      </c>
      <c r="G863" t="str">
        <f t="shared" si="13"/>
        <v/>
      </c>
    </row>
    <row r="864" spans="1:7">
      <c r="A864" s="1">
        <v>49503</v>
      </c>
      <c r="B864" t="s">
        <v>16</v>
      </c>
      <c r="C864">
        <v>27.3</v>
      </c>
      <c r="D864">
        <v>2.6</v>
      </c>
      <c r="E864" s="2">
        <f>C864*D864 / 100</f>
        <v>0.70979999999999999</v>
      </c>
      <c r="F864">
        <f>IF(F863 &lt; 7, F863 +1,1)</f>
        <v>2</v>
      </c>
      <c r="G864" t="str">
        <f t="shared" si="13"/>
        <v/>
      </c>
    </row>
    <row r="865" spans="1:7">
      <c r="A865" s="1">
        <v>49504</v>
      </c>
      <c r="B865" t="s">
        <v>21</v>
      </c>
      <c r="C865">
        <v>21</v>
      </c>
      <c r="D865">
        <v>27.8</v>
      </c>
      <c r="E865" s="2">
        <f>C865*D865 / 100</f>
        <v>5.838000000000001</v>
      </c>
      <c r="F865">
        <f>IF(F864 &lt; 7, F864 +1,1)</f>
        <v>3</v>
      </c>
      <c r="G865" t="str">
        <f t="shared" si="13"/>
        <v/>
      </c>
    </row>
    <row r="866" spans="1:7">
      <c r="A866" s="1">
        <v>49505</v>
      </c>
      <c r="B866" t="s">
        <v>11</v>
      </c>
      <c r="C866">
        <v>11.5</v>
      </c>
      <c r="D866">
        <v>0</v>
      </c>
      <c r="E866" s="2">
        <f>C866*D866 / 100</f>
        <v>0</v>
      </c>
      <c r="F866">
        <f>IF(F865 &lt; 7, F865 +1,1)</f>
        <v>4</v>
      </c>
      <c r="G866" t="str">
        <f t="shared" si="13"/>
        <v/>
      </c>
    </row>
    <row r="867" spans="1:7">
      <c r="A867" s="1">
        <v>49506</v>
      </c>
      <c r="B867" t="s">
        <v>28</v>
      </c>
      <c r="C867">
        <v>13.6</v>
      </c>
      <c r="D867">
        <v>2.7</v>
      </c>
      <c r="E867" s="2">
        <f>C867*D867 / 100</f>
        <v>0.36719999999999997</v>
      </c>
      <c r="F867">
        <f>IF(F866 &lt; 7, F866 +1,1)</f>
        <v>5</v>
      </c>
      <c r="G867" t="str">
        <f t="shared" si="13"/>
        <v/>
      </c>
    </row>
    <row r="868" spans="1:7">
      <c r="A868" s="1">
        <v>49507</v>
      </c>
      <c r="B868" t="s">
        <v>22</v>
      </c>
      <c r="C868">
        <v>17.8</v>
      </c>
      <c r="D868">
        <v>0.3</v>
      </c>
      <c r="E868" s="2">
        <f>C868*D868 / 100</f>
        <v>5.3399999999999996E-2</v>
      </c>
      <c r="F868">
        <f>IF(F867 &lt; 7, F867 +1,1)</f>
        <v>6</v>
      </c>
      <c r="G868" t="str">
        <f t="shared" si="13"/>
        <v/>
      </c>
    </row>
    <row r="869" spans="1:7">
      <c r="A869" s="1">
        <v>49508</v>
      </c>
      <c r="B869" t="s">
        <v>22</v>
      </c>
      <c r="C869">
        <v>10.8</v>
      </c>
      <c r="D869">
        <v>0</v>
      </c>
      <c r="E869" s="2">
        <f>C869*D869 / 100</f>
        <v>0</v>
      </c>
      <c r="F869">
        <f>IF(F868 &lt; 7, F868 +1,1)</f>
        <v>7</v>
      </c>
      <c r="G869">
        <f t="shared" si="13"/>
        <v>121.39999999999999</v>
      </c>
    </row>
    <row r="870" spans="1:7">
      <c r="A870" s="1">
        <v>49509</v>
      </c>
      <c r="B870" t="s">
        <v>21</v>
      </c>
      <c r="C870">
        <v>23</v>
      </c>
      <c r="D870">
        <v>3.3</v>
      </c>
      <c r="E870" s="2">
        <f>C870*D870 / 100</f>
        <v>0.7589999999999999</v>
      </c>
      <c r="F870">
        <f>IF(F869 &lt; 7, F869 +1,1)</f>
        <v>1</v>
      </c>
      <c r="G870" t="str">
        <f t="shared" si="13"/>
        <v/>
      </c>
    </row>
    <row r="871" spans="1:7">
      <c r="A871" s="1">
        <v>49510</v>
      </c>
      <c r="B871" t="s">
        <v>9</v>
      </c>
      <c r="C871">
        <v>14</v>
      </c>
      <c r="D871">
        <v>18.100000000000001</v>
      </c>
      <c r="E871" s="2">
        <f>C871*D871 / 100</f>
        <v>2.5340000000000003</v>
      </c>
      <c r="F871">
        <f>IF(F870 &lt; 7, F870 +1,1)</f>
        <v>2</v>
      </c>
      <c r="G871" t="str">
        <f t="shared" si="13"/>
        <v/>
      </c>
    </row>
    <row r="872" spans="1:7">
      <c r="A872" s="1">
        <v>49511</v>
      </c>
      <c r="B872" t="s">
        <v>12</v>
      </c>
      <c r="C872">
        <v>10.7</v>
      </c>
      <c r="D872">
        <v>0.4</v>
      </c>
      <c r="E872" s="2">
        <f>C872*D872 / 100</f>
        <v>4.2800000000000005E-2</v>
      </c>
      <c r="F872">
        <f>IF(F871 &lt; 7, F871 +1,1)</f>
        <v>3</v>
      </c>
      <c r="G872" t="str">
        <f t="shared" si="13"/>
        <v/>
      </c>
    </row>
    <row r="873" spans="1:7">
      <c r="A873" s="1">
        <v>49512</v>
      </c>
      <c r="B873" t="s">
        <v>19</v>
      </c>
      <c r="C873">
        <v>24.7</v>
      </c>
      <c r="D873">
        <v>9.1</v>
      </c>
      <c r="E873" s="2">
        <f>C873*D873 / 100</f>
        <v>2.2477</v>
      </c>
      <c r="F873">
        <f>IF(F872 &lt; 7, F872 +1,1)</f>
        <v>4</v>
      </c>
      <c r="G873" t="str">
        <f t="shared" si="13"/>
        <v/>
      </c>
    </row>
    <row r="874" spans="1:7">
      <c r="A874" s="1">
        <v>49513</v>
      </c>
      <c r="B874" t="s">
        <v>36</v>
      </c>
      <c r="C874">
        <v>12.2</v>
      </c>
      <c r="D874">
        <v>18.600000000000001</v>
      </c>
      <c r="E874" s="2">
        <f>C874*D874 / 100</f>
        <v>2.2692000000000001</v>
      </c>
      <c r="F874">
        <f>IF(F873 &lt; 7, F873 +1,1)</f>
        <v>5</v>
      </c>
      <c r="G874" t="str">
        <f t="shared" si="13"/>
        <v/>
      </c>
    </row>
    <row r="875" spans="1:7">
      <c r="A875" s="1">
        <v>49514</v>
      </c>
      <c r="B875" t="s">
        <v>30</v>
      </c>
      <c r="C875">
        <v>23.8</v>
      </c>
      <c r="D875">
        <v>7.7</v>
      </c>
      <c r="E875" s="2">
        <f>C875*D875 / 100</f>
        <v>1.8326000000000002</v>
      </c>
      <c r="F875">
        <f>IF(F874 &lt; 7, F874 +1,1)</f>
        <v>6</v>
      </c>
      <c r="G875" t="str">
        <f t="shared" si="13"/>
        <v/>
      </c>
    </row>
    <row r="876" spans="1:7">
      <c r="A876" s="1">
        <v>49515</v>
      </c>
      <c r="B876" t="s">
        <v>34</v>
      </c>
      <c r="C876">
        <v>18.5</v>
      </c>
      <c r="D876">
        <v>0</v>
      </c>
      <c r="E876" s="2">
        <f>C876*D876 / 100</f>
        <v>0</v>
      </c>
      <c r="F876">
        <f>IF(F875 &lt; 7, F875 +1,1)</f>
        <v>7</v>
      </c>
      <c r="G876">
        <f t="shared" si="13"/>
        <v>126.9</v>
      </c>
    </row>
    <row r="877" spans="1:7">
      <c r="A877" s="1">
        <v>49516</v>
      </c>
      <c r="B877" t="s">
        <v>23</v>
      </c>
      <c r="C877">
        <v>24.6</v>
      </c>
      <c r="D877">
        <v>0.4</v>
      </c>
      <c r="E877" s="2">
        <f>C877*D877 / 100</f>
        <v>9.8400000000000015E-2</v>
      </c>
      <c r="F877">
        <f>IF(F876 &lt; 7, F876 +1,1)</f>
        <v>1</v>
      </c>
      <c r="G877" t="str">
        <f t="shared" si="13"/>
        <v/>
      </c>
    </row>
    <row r="878" spans="1:7">
      <c r="A878" s="1">
        <v>49517</v>
      </c>
      <c r="B878" t="s">
        <v>36</v>
      </c>
      <c r="C878">
        <v>24.6</v>
      </c>
      <c r="D878">
        <v>10.4</v>
      </c>
      <c r="E878" s="2">
        <f>C878*D878 / 100</f>
        <v>2.5584000000000002</v>
      </c>
      <c r="F878">
        <f>IF(F877 &lt; 7, F877 +1,1)</f>
        <v>2</v>
      </c>
      <c r="G878" t="str">
        <f t="shared" si="13"/>
        <v/>
      </c>
    </row>
    <row r="879" spans="1:7">
      <c r="A879" s="1">
        <v>49518</v>
      </c>
      <c r="B879" t="s">
        <v>34</v>
      </c>
      <c r="C879">
        <v>25.4</v>
      </c>
      <c r="D879">
        <v>11.2</v>
      </c>
      <c r="E879" s="2">
        <f>C879*D879 / 100</f>
        <v>2.8447999999999998</v>
      </c>
      <c r="F879">
        <f>IF(F878 &lt; 7, F878 +1,1)</f>
        <v>3</v>
      </c>
      <c r="G879" t="str">
        <f t="shared" si="13"/>
        <v/>
      </c>
    </row>
    <row r="880" spans="1:7">
      <c r="A880" s="1">
        <v>49519</v>
      </c>
      <c r="B880" t="s">
        <v>9</v>
      </c>
      <c r="C880">
        <v>13.1</v>
      </c>
      <c r="D880">
        <v>22.2</v>
      </c>
      <c r="E880" s="2">
        <f>C880*D880 / 100</f>
        <v>2.9081999999999999</v>
      </c>
      <c r="F880">
        <f>IF(F879 &lt; 7, F879 +1,1)</f>
        <v>4</v>
      </c>
      <c r="G880" t="str">
        <f t="shared" si="13"/>
        <v/>
      </c>
    </row>
    <row r="881" spans="1:7">
      <c r="A881" s="1">
        <v>49520</v>
      </c>
      <c r="B881" t="s">
        <v>21</v>
      </c>
      <c r="C881">
        <v>10.1</v>
      </c>
      <c r="D881">
        <v>11.6</v>
      </c>
      <c r="E881" s="2">
        <f>C881*D881 / 100</f>
        <v>1.1716</v>
      </c>
      <c r="F881">
        <f>IF(F880 &lt; 7, F880 +1,1)</f>
        <v>5</v>
      </c>
      <c r="G881" t="str">
        <f t="shared" si="13"/>
        <v/>
      </c>
    </row>
    <row r="882" spans="1:7">
      <c r="A882" s="1">
        <v>49521</v>
      </c>
      <c r="B882" t="s">
        <v>33</v>
      </c>
      <c r="C882">
        <v>25</v>
      </c>
      <c r="D882">
        <v>0</v>
      </c>
      <c r="E882" s="2">
        <f>C882*D882 / 100</f>
        <v>0</v>
      </c>
      <c r="F882">
        <f>IF(F881 &lt; 7, F881 +1,1)</f>
        <v>6</v>
      </c>
      <c r="G882" t="str">
        <f t="shared" si="13"/>
        <v/>
      </c>
    </row>
    <row r="883" spans="1:7">
      <c r="A883" s="1">
        <v>49522</v>
      </c>
      <c r="B883" t="s">
        <v>29</v>
      </c>
      <c r="C883">
        <v>20.9</v>
      </c>
      <c r="D883">
        <v>11.4</v>
      </c>
      <c r="E883" s="2">
        <f>C883*D883 / 100</f>
        <v>2.3826000000000001</v>
      </c>
      <c r="F883">
        <f>IF(F882 &lt; 7, F882 +1,1)</f>
        <v>7</v>
      </c>
      <c r="G883">
        <f t="shared" si="13"/>
        <v>143.69999999999999</v>
      </c>
    </row>
    <row r="884" spans="1:7">
      <c r="A884" s="1">
        <v>49523</v>
      </c>
      <c r="B884" t="s">
        <v>11</v>
      </c>
      <c r="C884">
        <v>27.6</v>
      </c>
      <c r="D884">
        <v>2.5</v>
      </c>
      <c r="E884" s="2">
        <f>C884*D884 / 100</f>
        <v>0.69</v>
      </c>
      <c r="F884">
        <f>IF(F883 &lt; 7, F883 +1,1)</f>
        <v>1</v>
      </c>
      <c r="G884" t="str">
        <f t="shared" si="13"/>
        <v/>
      </c>
    </row>
    <row r="885" spans="1:7">
      <c r="A885" s="1">
        <v>49524</v>
      </c>
      <c r="B885" t="s">
        <v>21</v>
      </c>
      <c r="C885">
        <v>22.8</v>
      </c>
      <c r="D885">
        <v>0</v>
      </c>
      <c r="E885" s="2">
        <f>C885*D885 / 100</f>
        <v>0</v>
      </c>
      <c r="F885">
        <f>IF(F884 &lt; 7, F884 +1,1)</f>
        <v>2</v>
      </c>
      <c r="G885" t="str">
        <f t="shared" si="13"/>
        <v/>
      </c>
    </row>
    <row r="886" spans="1:7">
      <c r="A886" s="1">
        <v>49525</v>
      </c>
      <c r="B886" t="s">
        <v>26</v>
      </c>
      <c r="C886">
        <v>12</v>
      </c>
      <c r="D886">
        <v>0</v>
      </c>
      <c r="E886" s="2">
        <f>C886*D886 / 100</f>
        <v>0</v>
      </c>
      <c r="F886">
        <f>IF(F885 &lt; 7, F885 +1,1)</f>
        <v>3</v>
      </c>
      <c r="G886" t="str">
        <f t="shared" si="13"/>
        <v/>
      </c>
    </row>
    <row r="887" spans="1:7">
      <c r="A887" s="1">
        <v>49526</v>
      </c>
      <c r="B887" t="s">
        <v>6</v>
      </c>
      <c r="C887">
        <v>16.8</v>
      </c>
      <c r="D887">
        <v>4.9000000000000004</v>
      </c>
      <c r="E887" s="2">
        <f>C887*D887 / 100</f>
        <v>0.82320000000000004</v>
      </c>
      <c r="F887">
        <f>IF(F886 &lt; 7, F886 +1,1)</f>
        <v>4</v>
      </c>
      <c r="G887" t="str">
        <f t="shared" si="13"/>
        <v/>
      </c>
    </row>
    <row r="888" spans="1:7">
      <c r="A888" s="1">
        <v>49527</v>
      </c>
      <c r="B888" t="s">
        <v>18</v>
      </c>
      <c r="C888">
        <v>12.9</v>
      </c>
      <c r="D888">
        <v>3</v>
      </c>
      <c r="E888" s="2">
        <f>C888*D888 / 100</f>
        <v>0.38700000000000001</v>
      </c>
      <c r="F888">
        <f>IF(F887 &lt; 7, F887 +1,1)</f>
        <v>5</v>
      </c>
      <c r="G888" t="str">
        <f t="shared" si="13"/>
        <v/>
      </c>
    </row>
    <row r="889" spans="1:7">
      <c r="A889" s="1">
        <v>49528</v>
      </c>
      <c r="B889" t="s">
        <v>21</v>
      </c>
      <c r="C889">
        <v>18</v>
      </c>
      <c r="D889">
        <v>13.6</v>
      </c>
      <c r="E889" s="2">
        <f>C889*D889 / 100</f>
        <v>2.448</v>
      </c>
      <c r="F889">
        <f>IF(F888 &lt; 7, F888 +1,1)</f>
        <v>6</v>
      </c>
      <c r="G889" t="str">
        <f t="shared" si="13"/>
        <v/>
      </c>
    </row>
    <row r="890" spans="1:7">
      <c r="A890" s="1">
        <v>49529</v>
      </c>
      <c r="B890" t="s">
        <v>36</v>
      </c>
      <c r="C890">
        <v>26</v>
      </c>
      <c r="D890">
        <v>30.4</v>
      </c>
      <c r="E890" s="2">
        <f>C890*D890 / 100</f>
        <v>7.9039999999999999</v>
      </c>
      <c r="F890">
        <f>IF(F889 &lt; 7, F889 +1,1)</f>
        <v>7</v>
      </c>
      <c r="G890">
        <f t="shared" si="13"/>
        <v>136.10000000000002</v>
      </c>
    </row>
    <row r="891" spans="1:7">
      <c r="A891" s="1">
        <v>49530</v>
      </c>
      <c r="B891" t="s">
        <v>33</v>
      </c>
      <c r="C891">
        <v>21.3</v>
      </c>
      <c r="D891">
        <v>0</v>
      </c>
      <c r="E891" s="2">
        <f>C891*D891 / 100</f>
        <v>0</v>
      </c>
      <c r="F891">
        <f>IF(F890 &lt; 7, F890 +1,1)</f>
        <v>1</v>
      </c>
      <c r="G891" t="str">
        <f t="shared" si="13"/>
        <v/>
      </c>
    </row>
    <row r="892" spans="1:7">
      <c r="A892" s="1">
        <v>49531</v>
      </c>
      <c r="B892" t="s">
        <v>9</v>
      </c>
      <c r="C892">
        <v>15.7</v>
      </c>
      <c r="D892">
        <v>5.9</v>
      </c>
      <c r="E892" s="2">
        <f>C892*D892 / 100</f>
        <v>0.9262999999999999</v>
      </c>
      <c r="F892">
        <f>IF(F891 &lt; 7, F891 +1,1)</f>
        <v>2</v>
      </c>
      <c r="G892" t="str">
        <f t="shared" si="13"/>
        <v/>
      </c>
    </row>
    <row r="893" spans="1:7">
      <c r="A893" s="1">
        <v>49532</v>
      </c>
      <c r="B893" t="s">
        <v>21</v>
      </c>
      <c r="C893">
        <v>19.100000000000001</v>
      </c>
      <c r="D893">
        <v>0</v>
      </c>
      <c r="E893" s="2">
        <f>C893*D893 / 100</f>
        <v>0</v>
      </c>
      <c r="F893">
        <f>IF(F892 &lt; 7, F892 +1,1)</f>
        <v>3</v>
      </c>
      <c r="G893" t="str">
        <f t="shared" si="13"/>
        <v/>
      </c>
    </row>
    <row r="894" spans="1:7">
      <c r="A894" s="1">
        <v>49533</v>
      </c>
      <c r="B894" t="s">
        <v>36</v>
      </c>
      <c r="C894">
        <v>24.6</v>
      </c>
      <c r="D894">
        <v>12.3</v>
      </c>
      <c r="E894" s="2">
        <f>C894*D894 / 100</f>
        <v>3.0258000000000003</v>
      </c>
      <c r="F894">
        <f>IF(F893 &lt; 7, F893 +1,1)</f>
        <v>4</v>
      </c>
      <c r="G894" t="str">
        <f t="shared" si="13"/>
        <v/>
      </c>
    </row>
    <row r="895" spans="1:7">
      <c r="A895" s="1">
        <v>49534</v>
      </c>
      <c r="B895" t="s">
        <v>21</v>
      </c>
      <c r="C895">
        <v>18.7</v>
      </c>
      <c r="D895">
        <v>17.8</v>
      </c>
      <c r="E895" s="2">
        <f>C895*D895 / 100</f>
        <v>3.3286000000000002</v>
      </c>
      <c r="F895">
        <f>IF(F894 &lt; 7, F894 +1,1)</f>
        <v>5</v>
      </c>
      <c r="G895" t="str">
        <f t="shared" si="13"/>
        <v/>
      </c>
    </row>
    <row r="896" spans="1:7">
      <c r="A896" s="1">
        <v>49535</v>
      </c>
      <c r="B896" t="s">
        <v>26</v>
      </c>
      <c r="C896">
        <v>13.2</v>
      </c>
      <c r="D896">
        <v>3.2</v>
      </c>
      <c r="E896" s="2">
        <f>C896*D896 / 100</f>
        <v>0.4224</v>
      </c>
      <c r="F896">
        <f>IF(F895 &lt; 7, F895 +1,1)</f>
        <v>6</v>
      </c>
      <c r="G896" t="str">
        <f t="shared" si="13"/>
        <v/>
      </c>
    </row>
    <row r="897" spans="1:7">
      <c r="A897" s="1">
        <v>49536</v>
      </c>
      <c r="B897" t="s">
        <v>34</v>
      </c>
      <c r="C897">
        <v>24.8</v>
      </c>
      <c r="D897">
        <v>2.2999999999999998</v>
      </c>
      <c r="E897" s="2">
        <f>C897*D897 / 100</f>
        <v>0.57040000000000002</v>
      </c>
      <c r="F897">
        <f>IF(F896 &lt; 7, F896 +1,1)</f>
        <v>7</v>
      </c>
      <c r="G897">
        <f t="shared" si="13"/>
        <v>137.4</v>
      </c>
    </row>
    <row r="898" spans="1:7">
      <c r="A898" s="1">
        <v>49537</v>
      </c>
      <c r="B898" t="s">
        <v>33</v>
      </c>
      <c r="C898">
        <v>19.3</v>
      </c>
      <c r="D898">
        <v>1.8</v>
      </c>
      <c r="E898" s="2">
        <f>C898*D898 / 100</f>
        <v>0.34740000000000004</v>
      </c>
      <c r="F898">
        <f>IF(F897 &lt; 7, F897 +1,1)</f>
        <v>1</v>
      </c>
      <c r="G898" t="str">
        <f t="shared" si="13"/>
        <v/>
      </c>
    </row>
    <row r="899" spans="1:7">
      <c r="A899" s="1">
        <v>49538</v>
      </c>
      <c r="B899" t="s">
        <v>29</v>
      </c>
      <c r="C899">
        <v>22.7</v>
      </c>
      <c r="D899">
        <v>0</v>
      </c>
      <c r="E899" s="2">
        <f>C899*D899 / 100</f>
        <v>0</v>
      </c>
      <c r="F899">
        <f>IF(F898 &lt; 7, F898 +1,1)</f>
        <v>2</v>
      </c>
      <c r="G899" t="str">
        <f t="shared" si="13"/>
        <v/>
      </c>
    </row>
    <row r="900" spans="1:7">
      <c r="A900" s="1">
        <v>49539</v>
      </c>
      <c r="B900" t="s">
        <v>9</v>
      </c>
      <c r="C900">
        <v>15.2</v>
      </c>
      <c r="D900">
        <v>0</v>
      </c>
      <c r="E900" s="2">
        <f>C900*D900 / 100</f>
        <v>0</v>
      </c>
      <c r="F900">
        <f>IF(F899 &lt; 7, F899 +1,1)</f>
        <v>3</v>
      </c>
      <c r="G900" t="str">
        <f t="shared" si="13"/>
        <v/>
      </c>
    </row>
    <row r="901" spans="1:7">
      <c r="A901" s="1">
        <v>49540</v>
      </c>
      <c r="B901" t="s">
        <v>6</v>
      </c>
      <c r="C901">
        <v>28.6</v>
      </c>
      <c r="D901">
        <v>0.2</v>
      </c>
      <c r="E901" s="2">
        <f>C901*D901 / 100</f>
        <v>5.7200000000000008E-2</v>
      </c>
      <c r="F901">
        <f>IF(F900 &lt; 7, F900 +1,1)</f>
        <v>4</v>
      </c>
      <c r="G901" t="str">
        <f t="shared" si="13"/>
        <v/>
      </c>
    </row>
    <row r="902" spans="1:7">
      <c r="A902" s="1">
        <v>49541</v>
      </c>
      <c r="B902" t="s">
        <v>16</v>
      </c>
      <c r="C902">
        <v>17.899999999999999</v>
      </c>
      <c r="D902">
        <v>18.600000000000001</v>
      </c>
      <c r="E902" s="2">
        <f>C902*D902 / 100</f>
        <v>3.3294000000000001</v>
      </c>
      <c r="F902">
        <f>IF(F901 &lt; 7, F901 +1,1)</f>
        <v>5</v>
      </c>
      <c r="G902" t="str">
        <f t="shared" si="13"/>
        <v/>
      </c>
    </row>
    <row r="903" spans="1:7">
      <c r="A903" s="1">
        <v>49542</v>
      </c>
      <c r="B903" t="s">
        <v>20</v>
      </c>
      <c r="C903">
        <v>11.6</v>
      </c>
      <c r="D903">
        <v>0</v>
      </c>
      <c r="E903" s="2">
        <f>C903*D903 / 100</f>
        <v>0</v>
      </c>
      <c r="F903">
        <f>IF(F902 &lt; 7, F902 +1,1)</f>
        <v>6</v>
      </c>
      <c r="G903" t="str">
        <f t="shared" si="13"/>
        <v/>
      </c>
    </row>
    <row r="904" spans="1:7">
      <c r="A904" s="1">
        <v>49543</v>
      </c>
      <c r="B904" t="s">
        <v>28</v>
      </c>
      <c r="C904">
        <v>19</v>
      </c>
      <c r="D904">
        <v>2.2000000000000002</v>
      </c>
      <c r="E904" s="2">
        <f>C904*D904 / 100</f>
        <v>0.41800000000000004</v>
      </c>
      <c r="F904">
        <f>IF(F903 &lt; 7, F903 +1,1)</f>
        <v>7</v>
      </c>
      <c r="G904">
        <f t="shared" si="13"/>
        <v>134.30000000000001</v>
      </c>
    </row>
    <row r="905" spans="1:7">
      <c r="A905" s="1">
        <v>49544</v>
      </c>
      <c r="B905" t="s">
        <v>34</v>
      </c>
      <c r="C905">
        <v>17.600000000000001</v>
      </c>
      <c r="D905">
        <v>7.2</v>
      </c>
      <c r="E905" s="2">
        <f>C905*D905 / 100</f>
        <v>1.2672000000000001</v>
      </c>
      <c r="F905">
        <f>IF(F904 &lt; 7, F904 +1,1)</f>
        <v>1</v>
      </c>
      <c r="G905" t="str">
        <f t="shared" ref="G905:G968" si="14">IF(F905=7, SUM(C899:C905), "")</f>
        <v/>
      </c>
    </row>
    <row r="906" spans="1:7">
      <c r="A906" s="1">
        <v>49545</v>
      </c>
      <c r="B906" t="s">
        <v>16</v>
      </c>
      <c r="C906">
        <v>12.1</v>
      </c>
      <c r="D906">
        <v>7.2</v>
      </c>
      <c r="E906" s="2">
        <f>C906*D906 / 100</f>
        <v>0.87120000000000009</v>
      </c>
      <c r="F906">
        <f>IF(F905 &lt; 7, F905 +1,1)</f>
        <v>2</v>
      </c>
      <c r="G906" t="str">
        <f t="shared" si="14"/>
        <v/>
      </c>
    </row>
    <row r="907" spans="1:7">
      <c r="A907" s="1">
        <v>49546</v>
      </c>
      <c r="B907" t="s">
        <v>19</v>
      </c>
      <c r="C907">
        <v>28.3</v>
      </c>
      <c r="D907">
        <v>1.8</v>
      </c>
      <c r="E907" s="2">
        <f>C907*D907 / 100</f>
        <v>0.50940000000000007</v>
      </c>
      <c r="F907">
        <f>IF(F906 &lt; 7, F906 +1,1)</f>
        <v>3</v>
      </c>
      <c r="G907" t="str">
        <f t="shared" si="14"/>
        <v/>
      </c>
    </row>
    <row r="908" spans="1:7">
      <c r="A908" s="1">
        <v>49547</v>
      </c>
      <c r="B908" t="s">
        <v>29</v>
      </c>
      <c r="C908">
        <v>13.3</v>
      </c>
      <c r="D908">
        <v>0</v>
      </c>
      <c r="E908" s="2">
        <f>C908*D908 / 100</f>
        <v>0</v>
      </c>
      <c r="F908">
        <f>IF(F907 &lt; 7, F907 +1,1)</f>
        <v>4</v>
      </c>
      <c r="G908" t="str">
        <f t="shared" si="14"/>
        <v/>
      </c>
    </row>
    <row r="909" spans="1:7">
      <c r="A909" s="1">
        <v>49548</v>
      </c>
      <c r="B909" t="s">
        <v>9</v>
      </c>
      <c r="C909">
        <v>21</v>
      </c>
      <c r="D909">
        <v>4.2</v>
      </c>
      <c r="E909" s="2">
        <f>C909*D909 / 100</f>
        <v>0.88200000000000001</v>
      </c>
      <c r="F909">
        <f>IF(F908 &lt; 7, F908 +1,1)</f>
        <v>5</v>
      </c>
      <c r="G909" t="str">
        <f t="shared" si="14"/>
        <v/>
      </c>
    </row>
    <row r="910" spans="1:7">
      <c r="A910" s="1">
        <v>49549</v>
      </c>
      <c r="B910" t="s">
        <v>21</v>
      </c>
      <c r="C910">
        <v>12</v>
      </c>
      <c r="D910">
        <v>2.2000000000000002</v>
      </c>
      <c r="E910" s="2">
        <f>C910*D910 / 100</f>
        <v>0.26400000000000001</v>
      </c>
      <c r="F910">
        <f>IF(F909 &lt; 7, F909 +1,1)</f>
        <v>6</v>
      </c>
      <c r="G910" t="str">
        <f t="shared" si="14"/>
        <v/>
      </c>
    </row>
    <row r="911" spans="1:7">
      <c r="A911" s="1">
        <v>49550</v>
      </c>
      <c r="B911" t="s">
        <v>36</v>
      </c>
      <c r="C911">
        <v>12.1</v>
      </c>
      <c r="D911">
        <v>0</v>
      </c>
      <c r="E911" s="2">
        <f>C911*D911 / 100</f>
        <v>0</v>
      </c>
      <c r="F911">
        <f>IF(F910 &lt; 7, F910 +1,1)</f>
        <v>7</v>
      </c>
      <c r="G911">
        <f t="shared" si="14"/>
        <v>116.39999999999999</v>
      </c>
    </row>
    <row r="912" spans="1:7">
      <c r="A912" s="1">
        <v>49551</v>
      </c>
      <c r="B912" t="s">
        <v>9</v>
      </c>
      <c r="C912">
        <v>15.8</v>
      </c>
      <c r="D912">
        <v>17.2</v>
      </c>
      <c r="E912" s="2">
        <f>C912*D912 / 100</f>
        <v>2.7176</v>
      </c>
      <c r="F912">
        <f>IF(F911 &lt; 7, F911 +1,1)</f>
        <v>1</v>
      </c>
      <c r="G912" t="str">
        <f t="shared" si="14"/>
        <v/>
      </c>
    </row>
    <row r="913" spans="1:7">
      <c r="A913" s="1">
        <v>49552</v>
      </c>
      <c r="B913" t="s">
        <v>34</v>
      </c>
      <c r="C913">
        <v>25.7</v>
      </c>
      <c r="D913">
        <v>5.9</v>
      </c>
      <c r="E913" s="2">
        <f>C913*D913 / 100</f>
        <v>1.5163</v>
      </c>
      <c r="F913">
        <f>IF(F912 &lt; 7, F912 +1,1)</f>
        <v>2</v>
      </c>
      <c r="G913" t="str">
        <f t="shared" si="14"/>
        <v/>
      </c>
    </row>
    <row r="914" spans="1:7">
      <c r="A914" s="1">
        <v>49553</v>
      </c>
      <c r="B914" t="s">
        <v>21</v>
      </c>
      <c r="C914">
        <v>20.5</v>
      </c>
      <c r="D914">
        <v>26</v>
      </c>
      <c r="E914" s="2">
        <f>C914*D914 / 100</f>
        <v>5.33</v>
      </c>
      <c r="F914">
        <f>IF(F913 &lt; 7, F913 +1,1)</f>
        <v>3</v>
      </c>
      <c r="G914" t="str">
        <f t="shared" si="14"/>
        <v/>
      </c>
    </row>
    <row r="915" spans="1:7">
      <c r="A915" s="1">
        <v>49554</v>
      </c>
      <c r="B915" t="s">
        <v>19</v>
      </c>
      <c r="C915">
        <v>23.5</v>
      </c>
      <c r="D915">
        <v>15.3</v>
      </c>
      <c r="E915" s="2">
        <f>C915*D915 / 100</f>
        <v>3.5954999999999999</v>
      </c>
      <c r="F915">
        <f>IF(F914 &lt; 7, F914 +1,1)</f>
        <v>4</v>
      </c>
      <c r="G915" t="str">
        <f t="shared" si="14"/>
        <v/>
      </c>
    </row>
    <row r="916" spans="1:7">
      <c r="A916" s="1">
        <v>49555</v>
      </c>
      <c r="B916" t="s">
        <v>34</v>
      </c>
      <c r="C916">
        <v>21.7</v>
      </c>
      <c r="D916">
        <v>1.2</v>
      </c>
      <c r="E916" s="2">
        <f>C916*D916 / 100</f>
        <v>0.26039999999999996</v>
      </c>
      <c r="F916">
        <f>IF(F915 &lt; 7, F915 +1,1)</f>
        <v>5</v>
      </c>
      <c r="G916" t="str">
        <f t="shared" si="14"/>
        <v/>
      </c>
    </row>
    <row r="917" spans="1:7">
      <c r="A917" s="1">
        <v>49556</v>
      </c>
      <c r="B917" t="s">
        <v>21</v>
      </c>
      <c r="C917">
        <v>29.8</v>
      </c>
      <c r="D917">
        <v>0</v>
      </c>
      <c r="E917" s="2">
        <f>C917*D917 / 100</f>
        <v>0</v>
      </c>
      <c r="F917">
        <f>IF(F916 &lt; 7, F916 +1,1)</f>
        <v>6</v>
      </c>
      <c r="G917" t="str">
        <f t="shared" si="14"/>
        <v/>
      </c>
    </row>
    <row r="918" spans="1:7">
      <c r="A918" s="1">
        <v>49557</v>
      </c>
      <c r="B918" t="s">
        <v>16</v>
      </c>
      <c r="C918">
        <v>27.1</v>
      </c>
      <c r="D918">
        <v>0</v>
      </c>
      <c r="E918" s="2">
        <f>C918*D918 / 100</f>
        <v>0</v>
      </c>
      <c r="F918">
        <f>IF(F917 &lt; 7, F917 +1,1)</f>
        <v>7</v>
      </c>
      <c r="G918">
        <f t="shared" si="14"/>
        <v>164.1</v>
      </c>
    </row>
    <row r="919" spans="1:7">
      <c r="A919" s="1">
        <v>49558</v>
      </c>
      <c r="B919" t="s">
        <v>34</v>
      </c>
      <c r="C919">
        <v>27.3</v>
      </c>
      <c r="D919">
        <v>0</v>
      </c>
      <c r="E919" s="2">
        <f>C919*D919 / 100</f>
        <v>0</v>
      </c>
      <c r="F919">
        <f>IF(F918 &lt; 7, F918 +1,1)</f>
        <v>1</v>
      </c>
      <c r="G919" t="str">
        <f t="shared" si="14"/>
        <v/>
      </c>
    </row>
    <row r="920" spans="1:7">
      <c r="A920" s="1">
        <v>49559</v>
      </c>
      <c r="B920" t="s">
        <v>36</v>
      </c>
      <c r="C920">
        <v>15.5</v>
      </c>
      <c r="D920">
        <v>27.6</v>
      </c>
      <c r="E920" s="2">
        <f>C920*D920 / 100</f>
        <v>4.2780000000000005</v>
      </c>
      <c r="F920">
        <f>IF(F919 &lt; 7, F919 +1,1)</f>
        <v>2</v>
      </c>
      <c r="G920" t="str">
        <f t="shared" si="14"/>
        <v/>
      </c>
    </row>
    <row r="921" spans="1:7">
      <c r="A921" s="1">
        <v>49560</v>
      </c>
      <c r="B921" t="s">
        <v>19</v>
      </c>
      <c r="C921">
        <v>27.9</v>
      </c>
      <c r="D921">
        <v>5.0999999999999996</v>
      </c>
      <c r="E921" s="2">
        <f>C921*D921 / 100</f>
        <v>1.4228999999999998</v>
      </c>
      <c r="F921">
        <f>IF(F920 &lt; 7, F920 +1,1)</f>
        <v>3</v>
      </c>
      <c r="G921" t="str">
        <f t="shared" si="14"/>
        <v/>
      </c>
    </row>
    <row r="922" spans="1:7">
      <c r="A922" s="1">
        <v>49561</v>
      </c>
      <c r="B922" t="s">
        <v>21</v>
      </c>
      <c r="C922">
        <v>19.7</v>
      </c>
      <c r="D922">
        <v>21.4</v>
      </c>
      <c r="E922" s="2">
        <f>C922*D922 / 100</f>
        <v>4.2157999999999998</v>
      </c>
      <c r="F922">
        <f>IF(F921 &lt; 7, F921 +1,1)</f>
        <v>4</v>
      </c>
      <c r="G922" t="str">
        <f t="shared" si="14"/>
        <v/>
      </c>
    </row>
    <row r="923" spans="1:7">
      <c r="A923" s="1">
        <v>49562</v>
      </c>
      <c r="B923" t="s">
        <v>21</v>
      </c>
      <c r="C923">
        <v>27.8</v>
      </c>
      <c r="D923">
        <v>27.6</v>
      </c>
      <c r="E923" s="2">
        <f>C923*D923 / 100</f>
        <v>7.6728000000000005</v>
      </c>
      <c r="F923">
        <f>IF(F922 &lt; 7, F922 +1,1)</f>
        <v>5</v>
      </c>
      <c r="G923" t="str">
        <f t="shared" si="14"/>
        <v/>
      </c>
    </row>
    <row r="924" spans="1:7">
      <c r="A924" s="1">
        <v>49563</v>
      </c>
      <c r="B924" t="s">
        <v>24</v>
      </c>
      <c r="C924">
        <v>12.3</v>
      </c>
      <c r="D924">
        <v>2.9</v>
      </c>
      <c r="E924" s="2">
        <f>C924*D924 / 100</f>
        <v>0.35670000000000002</v>
      </c>
      <c r="F924">
        <f>IF(F923 &lt; 7, F923 +1,1)</f>
        <v>6</v>
      </c>
      <c r="G924" t="str">
        <f t="shared" si="14"/>
        <v/>
      </c>
    </row>
    <row r="925" spans="1:7">
      <c r="A925" s="1">
        <v>49564</v>
      </c>
      <c r="B925" t="s">
        <v>29</v>
      </c>
      <c r="C925">
        <v>12.8</v>
      </c>
      <c r="D925">
        <v>8.8000000000000007</v>
      </c>
      <c r="E925" s="2">
        <f>C925*D925 / 100</f>
        <v>1.1264000000000001</v>
      </c>
      <c r="F925">
        <f>IF(F924 &lt; 7, F924 +1,1)</f>
        <v>7</v>
      </c>
      <c r="G925">
        <f t="shared" si="14"/>
        <v>143.30000000000001</v>
      </c>
    </row>
    <row r="926" spans="1:7">
      <c r="A926" s="1">
        <v>49565</v>
      </c>
      <c r="B926" t="s">
        <v>21</v>
      </c>
      <c r="C926">
        <v>15</v>
      </c>
      <c r="D926">
        <v>0</v>
      </c>
      <c r="E926" s="2">
        <f>C926*D926 / 100</f>
        <v>0</v>
      </c>
      <c r="F926">
        <f>IF(F925 &lt; 7, F925 +1,1)</f>
        <v>1</v>
      </c>
      <c r="G926" t="str">
        <f t="shared" si="14"/>
        <v/>
      </c>
    </row>
    <row r="927" spans="1:7">
      <c r="A927" s="1">
        <v>49566</v>
      </c>
      <c r="B927" t="s">
        <v>6</v>
      </c>
      <c r="C927">
        <v>27.6</v>
      </c>
      <c r="D927">
        <v>4.7</v>
      </c>
      <c r="E927" s="2">
        <f>C927*D927 / 100</f>
        <v>1.2971999999999999</v>
      </c>
      <c r="F927">
        <f>IF(F926 &lt; 7, F926 +1,1)</f>
        <v>2</v>
      </c>
      <c r="G927" t="str">
        <f t="shared" si="14"/>
        <v/>
      </c>
    </row>
    <row r="928" spans="1:7">
      <c r="A928" s="1">
        <v>49567</v>
      </c>
      <c r="B928" t="s">
        <v>21</v>
      </c>
      <c r="C928">
        <v>19.600000000000001</v>
      </c>
      <c r="D928">
        <v>0</v>
      </c>
      <c r="E928" s="2">
        <f>C928*D928 / 100</f>
        <v>0</v>
      </c>
      <c r="F928">
        <f>IF(F927 &lt; 7, F927 +1,1)</f>
        <v>3</v>
      </c>
      <c r="G928" t="str">
        <f t="shared" si="14"/>
        <v/>
      </c>
    </row>
    <row r="929" spans="1:7">
      <c r="A929" s="1">
        <v>49568</v>
      </c>
      <c r="B929" t="s">
        <v>17</v>
      </c>
      <c r="C929">
        <v>16</v>
      </c>
      <c r="D929">
        <v>0.4</v>
      </c>
      <c r="E929" s="2">
        <f>C929*D929 / 100</f>
        <v>6.4000000000000001E-2</v>
      </c>
      <c r="F929">
        <f>IF(F928 &lt; 7, F928 +1,1)</f>
        <v>4</v>
      </c>
      <c r="G929" t="str">
        <f t="shared" si="14"/>
        <v/>
      </c>
    </row>
    <row r="930" spans="1:7">
      <c r="A930" s="1">
        <v>49569</v>
      </c>
      <c r="B930" t="s">
        <v>21</v>
      </c>
      <c r="C930">
        <v>10.3</v>
      </c>
      <c r="D930">
        <v>0</v>
      </c>
      <c r="E930" s="2">
        <f>C930*D930 / 100</f>
        <v>0</v>
      </c>
      <c r="F930">
        <f>IF(F929 &lt; 7, F929 +1,1)</f>
        <v>5</v>
      </c>
      <c r="G930" t="str">
        <f t="shared" si="14"/>
        <v/>
      </c>
    </row>
    <row r="931" spans="1:7">
      <c r="A931" s="1">
        <v>49570</v>
      </c>
      <c r="B931" t="s">
        <v>29</v>
      </c>
      <c r="C931">
        <v>20.2</v>
      </c>
      <c r="D931">
        <v>13.9</v>
      </c>
      <c r="E931" s="2">
        <f>C931*D931 / 100</f>
        <v>2.8077999999999999</v>
      </c>
      <c r="F931">
        <f>IF(F930 &lt; 7, F930 +1,1)</f>
        <v>6</v>
      </c>
      <c r="G931" t="str">
        <f t="shared" si="14"/>
        <v/>
      </c>
    </row>
    <row r="932" spans="1:7">
      <c r="A932" s="1">
        <v>49571</v>
      </c>
      <c r="B932" t="s">
        <v>12</v>
      </c>
      <c r="C932">
        <v>26.4</v>
      </c>
      <c r="D932">
        <v>6.8</v>
      </c>
      <c r="E932" s="2">
        <f>C932*D932 / 100</f>
        <v>1.7951999999999999</v>
      </c>
      <c r="F932">
        <f>IF(F931 &lt; 7, F931 +1,1)</f>
        <v>7</v>
      </c>
      <c r="G932">
        <f t="shared" si="14"/>
        <v>135.1</v>
      </c>
    </row>
    <row r="933" spans="1:7">
      <c r="A933" s="1">
        <v>49572</v>
      </c>
      <c r="B933" t="s">
        <v>23</v>
      </c>
      <c r="C933">
        <v>20.6</v>
      </c>
      <c r="D933">
        <v>0</v>
      </c>
      <c r="E933" s="2">
        <f>C933*D933 / 100</f>
        <v>0</v>
      </c>
      <c r="F933">
        <f>IF(F932 &lt; 7, F932 +1,1)</f>
        <v>1</v>
      </c>
      <c r="G933" t="str">
        <f t="shared" si="14"/>
        <v/>
      </c>
    </row>
    <row r="934" spans="1:7">
      <c r="A934" s="1">
        <v>49573</v>
      </c>
      <c r="B934" t="s">
        <v>36</v>
      </c>
      <c r="C934">
        <v>12.3</v>
      </c>
      <c r="D934">
        <v>0.2</v>
      </c>
      <c r="E934" s="2">
        <f>C934*D934 / 100</f>
        <v>2.4600000000000004E-2</v>
      </c>
      <c r="F934">
        <f>IF(F933 &lt; 7, F933 +1,1)</f>
        <v>2</v>
      </c>
      <c r="G934" t="str">
        <f t="shared" si="14"/>
        <v/>
      </c>
    </row>
    <row r="935" spans="1:7">
      <c r="A935" s="1">
        <v>49574</v>
      </c>
      <c r="B935" t="s">
        <v>36</v>
      </c>
      <c r="C935">
        <v>11.2</v>
      </c>
      <c r="D935">
        <v>36.200000000000003</v>
      </c>
      <c r="E935" s="2">
        <f>C935*D935 / 100</f>
        <v>4.0544000000000002</v>
      </c>
      <c r="F935">
        <f>IF(F934 &lt; 7, F934 +1,1)</f>
        <v>3</v>
      </c>
      <c r="G935" t="str">
        <f t="shared" si="14"/>
        <v/>
      </c>
    </row>
    <row r="936" spans="1:7">
      <c r="A936" s="1">
        <v>49575</v>
      </c>
      <c r="B936" t="s">
        <v>22</v>
      </c>
      <c r="C936">
        <v>22.6</v>
      </c>
      <c r="D936">
        <v>2.4</v>
      </c>
      <c r="E936" s="2">
        <f>C936*D936 / 100</f>
        <v>0.54239999999999999</v>
      </c>
      <c r="F936">
        <f>IF(F935 &lt; 7, F935 +1,1)</f>
        <v>4</v>
      </c>
      <c r="G936" t="str">
        <f t="shared" si="14"/>
        <v/>
      </c>
    </row>
    <row r="937" spans="1:7">
      <c r="A937" s="1">
        <v>49576</v>
      </c>
      <c r="B937" t="s">
        <v>35</v>
      </c>
      <c r="C937">
        <v>16.399999999999999</v>
      </c>
      <c r="D937">
        <v>0.1</v>
      </c>
      <c r="E937" s="2">
        <f>C937*D937 / 100</f>
        <v>1.6399999999999998E-2</v>
      </c>
      <c r="F937">
        <f>IF(F936 &lt; 7, F936 +1,1)</f>
        <v>5</v>
      </c>
      <c r="G937" t="str">
        <f t="shared" si="14"/>
        <v/>
      </c>
    </row>
    <row r="938" spans="1:7">
      <c r="A938" s="1">
        <v>49577</v>
      </c>
      <c r="B938" t="s">
        <v>14</v>
      </c>
      <c r="C938">
        <v>23.4</v>
      </c>
      <c r="D938">
        <v>0</v>
      </c>
      <c r="E938" s="2">
        <f>C938*D938 / 100</f>
        <v>0</v>
      </c>
      <c r="F938">
        <f>IF(F937 &lt; 7, F937 +1,1)</f>
        <v>6</v>
      </c>
      <c r="G938" t="str">
        <f t="shared" si="14"/>
        <v/>
      </c>
    </row>
    <row r="939" spans="1:7">
      <c r="A939" s="1">
        <v>49578</v>
      </c>
      <c r="B939" t="s">
        <v>6</v>
      </c>
      <c r="C939">
        <v>20.2</v>
      </c>
      <c r="D939">
        <v>0.3</v>
      </c>
      <c r="E939" s="2">
        <f>C939*D939 / 100</f>
        <v>6.0599999999999994E-2</v>
      </c>
      <c r="F939">
        <f>IF(F938 &lt; 7, F938 +1,1)</f>
        <v>7</v>
      </c>
      <c r="G939">
        <f t="shared" si="14"/>
        <v>126.70000000000003</v>
      </c>
    </row>
    <row r="940" spans="1:7">
      <c r="A940" s="1">
        <v>49579</v>
      </c>
      <c r="B940" t="s">
        <v>9</v>
      </c>
      <c r="C940">
        <v>17.600000000000001</v>
      </c>
      <c r="D940">
        <v>15</v>
      </c>
      <c r="E940" s="2">
        <f>C940*D940 / 100</f>
        <v>2.64</v>
      </c>
      <c r="F940">
        <f>IF(F939 &lt; 7, F939 +1,1)</f>
        <v>1</v>
      </c>
      <c r="G940" t="str">
        <f t="shared" si="14"/>
        <v/>
      </c>
    </row>
    <row r="941" spans="1:7">
      <c r="A941" s="1">
        <v>49580</v>
      </c>
      <c r="B941" t="s">
        <v>21</v>
      </c>
      <c r="C941">
        <v>21.7</v>
      </c>
      <c r="D941">
        <v>33.299999999999997</v>
      </c>
      <c r="E941" s="2">
        <f>C941*D941 / 100</f>
        <v>7.2260999999999989</v>
      </c>
      <c r="F941">
        <f>IF(F940 &lt; 7, F940 +1,1)</f>
        <v>2</v>
      </c>
      <c r="G941" t="str">
        <f t="shared" si="14"/>
        <v/>
      </c>
    </row>
    <row r="942" spans="1:7">
      <c r="A942" s="1">
        <v>49581</v>
      </c>
      <c r="B942" t="s">
        <v>21</v>
      </c>
      <c r="C942">
        <v>18.399999999999999</v>
      </c>
      <c r="D942">
        <v>19.3</v>
      </c>
      <c r="E942" s="2">
        <f>C942*D942 / 100</f>
        <v>3.5512000000000001</v>
      </c>
      <c r="F942">
        <f>IF(F941 &lt; 7, F941 +1,1)</f>
        <v>3</v>
      </c>
      <c r="G942" t="str">
        <f t="shared" si="14"/>
        <v/>
      </c>
    </row>
    <row r="943" spans="1:7">
      <c r="A943" s="1">
        <v>49582</v>
      </c>
      <c r="B943" t="s">
        <v>16</v>
      </c>
      <c r="C943">
        <v>20.100000000000001</v>
      </c>
      <c r="D943">
        <v>15.4</v>
      </c>
      <c r="E943" s="2">
        <f>C943*D943 / 100</f>
        <v>3.0954000000000002</v>
      </c>
      <c r="F943">
        <f>IF(F942 &lt; 7, F942 +1,1)</f>
        <v>4</v>
      </c>
      <c r="G943" t="str">
        <f t="shared" si="14"/>
        <v/>
      </c>
    </row>
    <row r="944" spans="1:7">
      <c r="A944" s="1">
        <v>49583</v>
      </c>
      <c r="B944" t="s">
        <v>29</v>
      </c>
      <c r="C944">
        <v>16.5</v>
      </c>
      <c r="D944">
        <v>14.7</v>
      </c>
      <c r="E944" s="2">
        <f>C944*D944 / 100</f>
        <v>2.4255</v>
      </c>
      <c r="F944">
        <f>IF(F943 &lt; 7, F943 +1,1)</f>
        <v>5</v>
      </c>
      <c r="G944" t="str">
        <f t="shared" si="14"/>
        <v/>
      </c>
    </row>
    <row r="945" spans="1:7">
      <c r="A945" s="1">
        <v>49584</v>
      </c>
      <c r="B945" t="s">
        <v>21</v>
      </c>
      <c r="C945">
        <v>12.3</v>
      </c>
      <c r="D945">
        <v>30.2</v>
      </c>
      <c r="E945" s="2">
        <f>C945*D945 / 100</f>
        <v>3.7146000000000003</v>
      </c>
      <c r="F945">
        <f>IF(F944 &lt; 7, F944 +1,1)</f>
        <v>6</v>
      </c>
      <c r="G945" t="str">
        <f t="shared" si="14"/>
        <v/>
      </c>
    </row>
    <row r="946" spans="1:7">
      <c r="A946" s="1">
        <v>49585</v>
      </c>
      <c r="B946" t="s">
        <v>21</v>
      </c>
      <c r="C946">
        <v>29.6</v>
      </c>
      <c r="D946">
        <v>42.8</v>
      </c>
      <c r="E946" s="2">
        <f>C946*D946 / 100</f>
        <v>12.668799999999999</v>
      </c>
      <c r="F946">
        <f>IF(F945 &lt; 7, F945 +1,1)</f>
        <v>7</v>
      </c>
      <c r="G946">
        <f t="shared" si="14"/>
        <v>136.19999999999999</v>
      </c>
    </row>
    <row r="947" spans="1:7">
      <c r="A947" s="1">
        <v>49586</v>
      </c>
      <c r="B947" t="s">
        <v>34</v>
      </c>
      <c r="C947">
        <v>26.6</v>
      </c>
      <c r="D947">
        <v>9.1999999999999993</v>
      </c>
      <c r="E947" s="2">
        <f>C947*D947 / 100</f>
        <v>2.4472</v>
      </c>
      <c r="F947">
        <f>IF(F946 &lt; 7, F946 +1,1)</f>
        <v>1</v>
      </c>
      <c r="G947" t="str">
        <f t="shared" si="14"/>
        <v/>
      </c>
    </row>
    <row r="948" spans="1:7">
      <c r="A948" s="1">
        <v>49587</v>
      </c>
      <c r="B948" t="s">
        <v>29</v>
      </c>
      <c r="C948">
        <v>26.7</v>
      </c>
      <c r="D948">
        <v>4</v>
      </c>
      <c r="E948" s="2">
        <f>C948*D948 / 100</f>
        <v>1.0680000000000001</v>
      </c>
      <c r="F948">
        <f>IF(F947 &lt; 7, F947 +1,1)</f>
        <v>2</v>
      </c>
      <c r="G948" t="str">
        <f t="shared" si="14"/>
        <v/>
      </c>
    </row>
    <row r="949" spans="1:7">
      <c r="A949" s="1">
        <v>49588</v>
      </c>
      <c r="B949" t="s">
        <v>33</v>
      </c>
      <c r="C949">
        <v>23.6</v>
      </c>
      <c r="D949">
        <v>0</v>
      </c>
      <c r="E949" s="2">
        <f>C949*D949 / 100</f>
        <v>0</v>
      </c>
      <c r="F949">
        <f>IF(F948 &lt; 7, F948 +1,1)</f>
        <v>3</v>
      </c>
      <c r="G949" t="str">
        <f t="shared" si="14"/>
        <v/>
      </c>
    </row>
    <row r="950" spans="1:7">
      <c r="A950" s="1">
        <v>49589</v>
      </c>
      <c r="B950" t="s">
        <v>35</v>
      </c>
      <c r="C950">
        <v>13.6</v>
      </c>
      <c r="D950">
        <v>2.8</v>
      </c>
      <c r="E950" s="2">
        <f>C950*D950 / 100</f>
        <v>0.38079999999999997</v>
      </c>
      <c r="F950">
        <f>IF(F949 &lt; 7, F949 +1,1)</f>
        <v>4</v>
      </c>
      <c r="G950" t="str">
        <f t="shared" si="14"/>
        <v/>
      </c>
    </row>
    <row r="951" spans="1:7">
      <c r="A951" s="1">
        <v>49590</v>
      </c>
      <c r="B951" t="s">
        <v>10</v>
      </c>
      <c r="C951">
        <v>13.8</v>
      </c>
      <c r="D951">
        <v>6.5</v>
      </c>
      <c r="E951" s="2">
        <f>C951*D951 / 100</f>
        <v>0.89700000000000002</v>
      </c>
      <c r="F951">
        <f>IF(F950 &lt; 7, F950 +1,1)</f>
        <v>5</v>
      </c>
      <c r="G951" t="str">
        <f t="shared" si="14"/>
        <v/>
      </c>
    </row>
    <row r="952" spans="1:7">
      <c r="A952" s="1">
        <v>49591</v>
      </c>
      <c r="B952" t="s">
        <v>30</v>
      </c>
      <c r="C952">
        <v>12.3</v>
      </c>
      <c r="D952">
        <v>0</v>
      </c>
      <c r="E952" s="2">
        <f>C952*D952 / 100</f>
        <v>0</v>
      </c>
      <c r="F952">
        <f>IF(F951 &lt; 7, F951 +1,1)</f>
        <v>6</v>
      </c>
      <c r="G952" t="str">
        <f t="shared" si="14"/>
        <v/>
      </c>
    </row>
    <row r="953" spans="1:7">
      <c r="A953" s="1">
        <v>49592</v>
      </c>
      <c r="B953" t="s">
        <v>16</v>
      </c>
      <c r="C953">
        <v>12.3</v>
      </c>
      <c r="D953">
        <v>0</v>
      </c>
      <c r="E953" s="2">
        <f>C953*D953 / 100</f>
        <v>0</v>
      </c>
      <c r="F953">
        <f>IF(F952 &lt; 7, F952 +1,1)</f>
        <v>7</v>
      </c>
      <c r="G953">
        <f t="shared" si="14"/>
        <v>128.9</v>
      </c>
    </row>
    <row r="954" spans="1:7">
      <c r="A954" s="1">
        <v>49593</v>
      </c>
      <c r="B954" t="s">
        <v>29</v>
      </c>
      <c r="C954">
        <v>22.7</v>
      </c>
      <c r="D954">
        <v>10.3</v>
      </c>
      <c r="E954" s="2">
        <f>C954*D954 / 100</f>
        <v>2.3380999999999998</v>
      </c>
      <c r="F954">
        <f>IF(F953 &lt; 7, F953 +1,1)</f>
        <v>1</v>
      </c>
      <c r="G954" t="str">
        <f t="shared" si="14"/>
        <v/>
      </c>
    </row>
    <row r="955" spans="1:7">
      <c r="A955" s="1">
        <v>49594</v>
      </c>
      <c r="B955" t="s">
        <v>21</v>
      </c>
      <c r="C955">
        <v>19</v>
      </c>
      <c r="D955">
        <v>0</v>
      </c>
      <c r="E955" s="2">
        <f>C955*D955 / 100</f>
        <v>0</v>
      </c>
      <c r="F955">
        <f>IF(F954 &lt; 7, F954 +1,1)</f>
        <v>2</v>
      </c>
      <c r="G955" t="str">
        <f t="shared" si="14"/>
        <v/>
      </c>
    </row>
    <row r="956" spans="1:7">
      <c r="A956" s="1">
        <v>49595</v>
      </c>
      <c r="B956" t="s">
        <v>22</v>
      </c>
      <c r="C956">
        <v>23.4</v>
      </c>
      <c r="D956">
        <v>0</v>
      </c>
      <c r="E956" s="2">
        <f>C956*D956 / 100</f>
        <v>0</v>
      </c>
      <c r="F956">
        <f>IF(F955 &lt; 7, F955 +1,1)</f>
        <v>3</v>
      </c>
      <c r="G956" t="str">
        <f t="shared" si="14"/>
        <v/>
      </c>
    </row>
    <row r="957" spans="1:7">
      <c r="A957" s="1">
        <v>49596</v>
      </c>
      <c r="B957" t="s">
        <v>33</v>
      </c>
      <c r="C957">
        <v>28.2</v>
      </c>
      <c r="D957">
        <v>0</v>
      </c>
      <c r="E957" s="2">
        <f>C957*D957 / 100</f>
        <v>0</v>
      </c>
      <c r="F957">
        <f>IF(F956 &lt; 7, F956 +1,1)</f>
        <v>4</v>
      </c>
      <c r="G957" t="str">
        <f t="shared" si="14"/>
        <v/>
      </c>
    </row>
    <row r="958" spans="1:7">
      <c r="A958" s="1">
        <v>49597</v>
      </c>
      <c r="B958" t="s">
        <v>33</v>
      </c>
      <c r="C958">
        <v>20.100000000000001</v>
      </c>
      <c r="D958">
        <v>9.6999999999999993</v>
      </c>
      <c r="E958" s="2">
        <f>C958*D958 / 100</f>
        <v>1.9497</v>
      </c>
      <c r="F958">
        <f>IF(F957 &lt; 7, F957 +1,1)</f>
        <v>5</v>
      </c>
      <c r="G958" t="str">
        <f t="shared" si="14"/>
        <v/>
      </c>
    </row>
    <row r="959" spans="1:7">
      <c r="A959" s="1">
        <v>49598</v>
      </c>
      <c r="B959" t="s">
        <v>23</v>
      </c>
      <c r="C959">
        <v>29.6</v>
      </c>
      <c r="D959">
        <v>0</v>
      </c>
      <c r="E959" s="2">
        <f>C959*D959 / 100</f>
        <v>0</v>
      </c>
      <c r="F959">
        <f>IF(F958 &lt; 7, F958 +1,1)</f>
        <v>6</v>
      </c>
      <c r="G959" t="str">
        <f t="shared" si="14"/>
        <v/>
      </c>
    </row>
    <row r="960" spans="1:7">
      <c r="A960" s="1">
        <v>49599</v>
      </c>
      <c r="B960" t="s">
        <v>16</v>
      </c>
      <c r="C960">
        <v>25.8</v>
      </c>
      <c r="D960">
        <v>0</v>
      </c>
      <c r="E960" s="2">
        <f>C960*D960 / 100</f>
        <v>0</v>
      </c>
      <c r="F960">
        <f>IF(F959 &lt; 7, F959 +1,1)</f>
        <v>7</v>
      </c>
      <c r="G960">
        <f t="shared" si="14"/>
        <v>168.8</v>
      </c>
    </row>
    <row r="961" spans="1:7">
      <c r="A961" s="1">
        <v>49600</v>
      </c>
      <c r="B961" t="s">
        <v>21</v>
      </c>
      <c r="C961">
        <v>19.600000000000001</v>
      </c>
      <c r="D961">
        <v>18.5</v>
      </c>
      <c r="E961" s="2">
        <f>C961*D961 / 100</f>
        <v>3.6260000000000003</v>
      </c>
      <c r="F961">
        <f>IF(F960 &lt; 7, F960 +1,1)</f>
        <v>1</v>
      </c>
      <c r="G961" t="str">
        <f t="shared" si="14"/>
        <v/>
      </c>
    </row>
    <row r="962" spans="1:7">
      <c r="A962" s="1">
        <v>49601</v>
      </c>
      <c r="B962" t="s">
        <v>36</v>
      </c>
      <c r="C962">
        <v>21.5</v>
      </c>
      <c r="D962">
        <v>3</v>
      </c>
      <c r="E962" s="2">
        <f>C962*D962 / 100</f>
        <v>0.64500000000000002</v>
      </c>
      <c r="F962">
        <f>IF(F961 &lt; 7, F961 +1,1)</f>
        <v>2</v>
      </c>
      <c r="G962" t="str">
        <f t="shared" si="14"/>
        <v/>
      </c>
    </row>
    <row r="963" spans="1:7">
      <c r="A963" s="1">
        <v>49602</v>
      </c>
      <c r="B963" t="s">
        <v>33</v>
      </c>
      <c r="C963">
        <v>24.2</v>
      </c>
      <c r="D963">
        <v>17.399999999999999</v>
      </c>
      <c r="E963" s="2">
        <f>C963*D963 / 100</f>
        <v>4.210799999999999</v>
      </c>
      <c r="F963">
        <f>IF(F962 &lt; 7, F962 +1,1)</f>
        <v>3</v>
      </c>
      <c r="G963" t="str">
        <f t="shared" si="14"/>
        <v/>
      </c>
    </row>
    <row r="964" spans="1:7">
      <c r="A964" s="1">
        <v>49603</v>
      </c>
      <c r="B964" t="s">
        <v>14</v>
      </c>
      <c r="C964">
        <v>12</v>
      </c>
      <c r="D964">
        <v>0</v>
      </c>
      <c r="E964" s="2">
        <f>C964*D964 / 100</f>
        <v>0</v>
      </c>
      <c r="F964">
        <f>IF(F963 &lt; 7, F963 +1,1)</f>
        <v>4</v>
      </c>
      <c r="G964" t="str">
        <f t="shared" si="14"/>
        <v/>
      </c>
    </row>
    <row r="965" spans="1:7">
      <c r="A965" s="1">
        <v>49604</v>
      </c>
      <c r="B965" t="s">
        <v>32</v>
      </c>
      <c r="C965">
        <v>23</v>
      </c>
      <c r="D965">
        <v>0</v>
      </c>
      <c r="E965" s="2">
        <f>C965*D965 / 100</f>
        <v>0</v>
      </c>
      <c r="F965">
        <f>IF(F964 &lt; 7, F964 +1,1)</f>
        <v>5</v>
      </c>
      <c r="G965" t="str">
        <f t="shared" si="14"/>
        <v/>
      </c>
    </row>
    <row r="966" spans="1:7">
      <c r="A966" s="1">
        <v>49605</v>
      </c>
      <c r="B966" t="s">
        <v>36</v>
      </c>
      <c r="C966">
        <v>19.8</v>
      </c>
      <c r="D966">
        <v>29.2</v>
      </c>
      <c r="E966" s="2">
        <f>C966*D966 / 100</f>
        <v>5.7816000000000001</v>
      </c>
      <c r="F966">
        <f>IF(F965 &lt; 7, F965 +1,1)</f>
        <v>6</v>
      </c>
      <c r="G966" t="str">
        <f t="shared" si="14"/>
        <v/>
      </c>
    </row>
    <row r="967" spans="1:7">
      <c r="A967" s="1">
        <v>49606</v>
      </c>
      <c r="B967" t="s">
        <v>10</v>
      </c>
      <c r="C967">
        <v>14.9</v>
      </c>
      <c r="D967">
        <v>0.8</v>
      </c>
      <c r="E967" s="2">
        <f>C967*D967 / 100</f>
        <v>0.11920000000000001</v>
      </c>
      <c r="F967">
        <f>IF(F966 &lt; 7, F966 +1,1)</f>
        <v>7</v>
      </c>
      <c r="G967">
        <f t="shared" si="14"/>
        <v>135</v>
      </c>
    </row>
    <row r="968" spans="1:7">
      <c r="A968" s="1">
        <v>49607</v>
      </c>
      <c r="B968" t="s">
        <v>33</v>
      </c>
      <c r="C968">
        <v>17.899999999999999</v>
      </c>
      <c r="D968">
        <v>10.3</v>
      </c>
      <c r="E968" s="2">
        <f>C968*D968 / 100</f>
        <v>1.8437000000000001</v>
      </c>
      <c r="F968">
        <f>IF(F967 &lt; 7, F967 +1,1)</f>
        <v>1</v>
      </c>
      <c r="G968" t="str">
        <f t="shared" si="14"/>
        <v/>
      </c>
    </row>
    <row r="969" spans="1:7">
      <c r="A969" s="1">
        <v>49608</v>
      </c>
      <c r="B969" t="s">
        <v>16</v>
      </c>
      <c r="C969">
        <v>26</v>
      </c>
      <c r="D969">
        <v>0</v>
      </c>
      <c r="E969" s="2">
        <f>C969*D969 / 100</f>
        <v>0</v>
      </c>
      <c r="F969">
        <f>IF(F968 &lt; 7, F968 +1,1)</f>
        <v>2</v>
      </c>
      <c r="G969" t="str">
        <f t="shared" ref="G969:G1032" si="15">IF(F969=7, SUM(C963:C969), "")</f>
        <v/>
      </c>
    </row>
    <row r="970" spans="1:7">
      <c r="A970" s="1">
        <v>49609</v>
      </c>
      <c r="B970" t="s">
        <v>34</v>
      </c>
      <c r="C970">
        <v>21.5</v>
      </c>
      <c r="D970">
        <v>9.3000000000000007</v>
      </c>
      <c r="E970" s="2">
        <f>C970*D970 / 100</f>
        <v>1.9995000000000003</v>
      </c>
      <c r="F970">
        <f>IF(F969 &lt; 7, F969 +1,1)</f>
        <v>3</v>
      </c>
      <c r="G970" t="str">
        <f t="shared" si="15"/>
        <v/>
      </c>
    </row>
    <row r="971" spans="1:7">
      <c r="A971" s="1">
        <v>49610</v>
      </c>
      <c r="B971" t="s">
        <v>36</v>
      </c>
      <c r="C971">
        <v>29.9</v>
      </c>
      <c r="D971">
        <v>2.4</v>
      </c>
      <c r="E971" s="2">
        <f>C971*D971 / 100</f>
        <v>0.7175999999999999</v>
      </c>
      <c r="F971">
        <f>IF(F970 &lt; 7, F970 +1,1)</f>
        <v>4</v>
      </c>
      <c r="G971" t="str">
        <f t="shared" si="15"/>
        <v/>
      </c>
    </row>
    <row r="972" spans="1:7">
      <c r="A972" s="1">
        <v>49611</v>
      </c>
      <c r="B972" t="s">
        <v>21</v>
      </c>
      <c r="C972">
        <v>12.3</v>
      </c>
      <c r="D972">
        <v>35.1</v>
      </c>
      <c r="E972" s="2">
        <f>C972*D972 / 100</f>
        <v>4.3173000000000004</v>
      </c>
      <c r="F972">
        <f>IF(F971 &lt; 7, F971 +1,1)</f>
        <v>5</v>
      </c>
      <c r="G972" t="str">
        <f t="shared" si="15"/>
        <v/>
      </c>
    </row>
    <row r="973" spans="1:7">
      <c r="A973" s="1">
        <v>49612</v>
      </c>
      <c r="B973" t="s">
        <v>23</v>
      </c>
      <c r="C973">
        <v>21.7</v>
      </c>
      <c r="D973">
        <v>3.9</v>
      </c>
      <c r="E973" s="2">
        <f>C973*D973 / 100</f>
        <v>0.84629999999999994</v>
      </c>
      <c r="F973">
        <f>IF(F972 &lt; 7, F972 +1,1)</f>
        <v>6</v>
      </c>
      <c r="G973" t="str">
        <f t="shared" si="15"/>
        <v/>
      </c>
    </row>
    <row r="974" spans="1:7">
      <c r="A974" s="1">
        <v>49613</v>
      </c>
      <c r="B974" t="s">
        <v>21</v>
      </c>
      <c r="C974">
        <v>10.7</v>
      </c>
      <c r="D974">
        <v>0</v>
      </c>
      <c r="E974" s="2">
        <f>C974*D974 / 100</f>
        <v>0</v>
      </c>
      <c r="F974">
        <f>IF(F973 &lt; 7, F973 +1,1)</f>
        <v>7</v>
      </c>
      <c r="G974">
        <f t="shared" si="15"/>
        <v>140</v>
      </c>
    </row>
    <row r="975" spans="1:7">
      <c r="A975" s="1">
        <v>49614</v>
      </c>
      <c r="B975" t="s">
        <v>10</v>
      </c>
      <c r="C975">
        <v>21.5</v>
      </c>
      <c r="D975">
        <v>0</v>
      </c>
      <c r="E975" s="2">
        <f>C975*D975 / 100</f>
        <v>0</v>
      </c>
      <c r="F975">
        <f>IF(F974 &lt; 7, F974 +1,1)</f>
        <v>1</v>
      </c>
      <c r="G975" t="str">
        <f t="shared" si="15"/>
        <v/>
      </c>
    </row>
    <row r="976" spans="1:7">
      <c r="A976" s="1">
        <v>49615</v>
      </c>
      <c r="B976" t="s">
        <v>21</v>
      </c>
      <c r="C976">
        <v>26</v>
      </c>
      <c r="D976">
        <v>33.799999999999997</v>
      </c>
      <c r="E976" s="2">
        <f>C976*D976 / 100</f>
        <v>8.7880000000000003</v>
      </c>
      <c r="F976">
        <f>IF(F975 &lt; 7, F975 +1,1)</f>
        <v>2</v>
      </c>
      <c r="G976" t="str">
        <f t="shared" si="15"/>
        <v/>
      </c>
    </row>
    <row r="977" spans="1:7">
      <c r="A977" s="1">
        <v>49616</v>
      </c>
      <c r="B977" t="s">
        <v>33</v>
      </c>
      <c r="C977">
        <v>24.4</v>
      </c>
      <c r="D977">
        <v>15.4</v>
      </c>
      <c r="E977" s="2">
        <f>C977*D977 / 100</f>
        <v>3.7576000000000001</v>
      </c>
      <c r="F977">
        <f>IF(F976 &lt; 7, F976 +1,1)</f>
        <v>3</v>
      </c>
      <c r="G977" t="str">
        <f t="shared" si="15"/>
        <v/>
      </c>
    </row>
    <row r="978" spans="1:7">
      <c r="A978" s="1">
        <v>49617</v>
      </c>
      <c r="B978" t="s">
        <v>10</v>
      </c>
      <c r="C978">
        <v>20.8</v>
      </c>
      <c r="D978">
        <v>0</v>
      </c>
      <c r="E978" s="2">
        <f>C978*D978 / 100</f>
        <v>0</v>
      </c>
      <c r="F978">
        <f>IF(F977 &lt; 7, F977 +1,1)</f>
        <v>4</v>
      </c>
      <c r="G978" t="str">
        <f t="shared" si="15"/>
        <v/>
      </c>
    </row>
    <row r="979" spans="1:7">
      <c r="A979" s="1">
        <v>49618</v>
      </c>
      <c r="B979" t="s">
        <v>19</v>
      </c>
      <c r="C979">
        <v>18.2</v>
      </c>
      <c r="D979">
        <v>15.7</v>
      </c>
      <c r="E979" s="2">
        <f>C979*D979 / 100</f>
        <v>2.8573999999999997</v>
      </c>
      <c r="F979">
        <f>IF(F978 &lt; 7, F978 +1,1)</f>
        <v>5</v>
      </c>
      <c r="G979" t="str">
        <f t="shared" si="15"/>
        <v/>
      </c>
    </row>
    <row r="980" spans="1:7">
      <c r="A980" s="1">
        <v>49619</v>
      </c>
      <c r="B980" t="s">
        <v>23</v>
      </c>
      <c r="C980">
        <v>25.6</v>
      </c>
      <c r="D980">
        <v>7</v>
      </c>
      <c r="E980" s="2">
        <f>C980*D980 / 100</f>
        <v>1.7920000000000003</v>
      </c>
      <c r="F980">
        <f>IF(F979 &lt; 7, F979 +1,1)</f>
        <v>6</v>
      </c>
      <c r="G980" t="str">
        <f t="shared" si="15"/>
        <v/>
      </c>
    </row>
    <row r="981" spans="1:7">
      <c r="A981" s="1">
        <v>49620</v>
      </c>
      <c r="B981" t="s">
        <v>9</v>
      </c>
      <c r="C981">
        <v>25.2</v>
      </c>
      <c r="D981">
        <v>0</v>
      </c>
      <c r="E981" s="2">
        <f>C981*D981 / 100</f>
        <v>0</v>
      </c>
      <c r="F981">
        <f>IF(F980 &lt; 7, F980 +1,1)</f>
        <v>7</v>
      </c>
      <c r="G981">
        <f t="shared" si="15"/>
        <v>161.69999999999999</v>
      </c>
    </row>
    <row r="982" spans="1:7">
      <c r="A982" s="1">
        <v>49621</v>
      </c>
      <c r="B982" t="s">
        <v>34</v>
      </c>
      <c r="C982">
        <v>19.5</v>
      </c>
      <c r="D982">
        <v>5.3</v>
      </c>
      <c r="E982" s="2">
        <f>C982*D982 / 100</f>
        <v>1.0334999999999999</v>
      </c>
      <c r="F982">
        <f>IF(F981 &lt; 7, F981 +1,1)</f>
        <v>1</v>
      </c>
      <c r="G982" t="str">
        <f t="shared" si="15"/>
        <v/>
      </c>
    </row>
    <row r="983" spans="1:7">
      <c r="A983" s="1">
        <v>49622</v>
      </c>
      <c r="B983" t="s">
        <v>13</v>
      </c>
      <c r="C983">
        <v>15.2</v>
      </c>
      <c r="D983">
        <v>2.1</v>
      </c>
      <c r="E983" s="2">
        <f>C983*D983 / 100</f>
        <v>0.31919999999999998</v>
      </c>
      <c r="F983">
        <f>IF(F982 &lt; 7, F982 +1,1)</f>
        <v>2</v>
      </c>
      <c r="G983" t="str">
        <f t="shared" si="15"/>
        <v/>
      </c>
    </row>
    <row r="984" spans="1:7">
      <c r="A984" s="1">
        <v>49623</v>
      </c>
      <c r="B984" t="s">
        <v>33</v>
      </c>
      <c r="C984">
        <v>21.3</v>
      </c>
      <c r="D984">
        <v>11.4</v>
      </c>
      <c r="E984" s="2">
        <f>C984*D984 / 100</f>
        <v>2.4282000000000004</v>
      </c>
      <c r="F984">
        <f>IF(F983 &lt; 7, F983 +1,1)</f>
        <v>3</v>
      </c>
      <c r="G984" t="str">
        <f t="shared" si="15"/>
        <v/>
      </c>
    </row>
    <row r="985" spans="1:7">
      <c r="A985" s="1">
        <v>49624</v>
      </c>
      <c r="B985" t="s">
        <v>33</v>
      </c>
      <c r="C985">
        <v>21.8</v>
      </c>
      <c r="D985">
        <v>17.399999999999999</v>
      </c>
      <c r="E985" s="2">
        <f>C985*D985 / 100</f>
        <v>3.7932000000000001</v>
      </c>
      <c r="F985">
        <f>IF(F984 &lt; 7, F984 +1,1)</f>
        <v>4</v>
      </c>
      <c r="G985" t="str">
        <f t="shared" si="15"/>
        <v/>
      </c>
    </row>
    <row r="986" spans="1:7">
      <c r="A986" s="1">
        <v>49625</v>
      </c>
      <c r="B986" t="s">
        <v>31</v>
      </c>
      <c r="C986">
        <v>27.7</v>
      </c>
      <c r="D986">
        <v>0.5</v>
      </c>
      <c r="E986" s="2">
        <f>C986*D986 / 100</f>
        <v>0.13849999999999998</v>
      </c>
      <c r="F986">
        <f>IF(F985 &lt; 7, F985 +1,1)</f>
        <v>5</v>
      </c>
      <c r="G986" t="str">
        <f t="shared" si="15"/>
        <v/>
      </c>
    </row>
    <row r="987" spans="1:7">
      <c r="A987" s="1">
        <v>49626</v>
      </c>
      <c r="B987" t="s">
        <v>21</v>
      </c>
      <c r="C987">
        <v>28.5</v>
      </c>
      <c r="D987">
        <v>46</v>
      </c>
      <c r="E987" s="2">
        <f>C987*D987 / 100</f>
        <v>13.11</v>
      </c>
      <c r="F987">
        <f>IF(F986 &lt; 7, F986 +1,1)</f>
        <v>6</v>
      </c>
      <c r="G987" t="str">
        <f t="shared" si="15"/>
        <v/>
      </c>
    </row>
    <row r="988" spans="1:7">
      <c r="A988" s="1">
        <v>49627</v>
      </c>
      <c r="B988" t="s">
        <v>14</v>
      </c>
      <c r="C988">
        <v>25.7</v>
      </c>
      <c r="D988">
        <v>0</v>
      </c>
      <c r="E988" s="2">
        <f>C988*D988 / 100</f>
        <v>0</v>
      </c>
      <c r="F988">
        <f>IF(F987 &lt; 7, F987 +1,1)</f>
        <v>7</v>
      </c>
      <c r="G988">
        <f t="shared" si="15"/>
        <v>159.69999999999999</v>
      </c>
    </row>
    <row r="989" spans="1:7">
      <c r="A989" s="1">
        <v>49628</v>
      </c>
      <c r="B989" t="s">
        <v>21</v>
      </c>
      <c r="C989">
        <v>18</v>
      </c>
      <c r="D989">
        <v>0.5</v>
      </c>
      <c r="E989" s="2">
        <f>C989*D989 / 100</f>
        <v>0.09</v>
      </c>
      <c r="F989">
        <f>IF(F988 &lt; 7, F988 +1,1)</f>
        <v>1</v>
      </c>
      <c r="G989" t="str">
        <f t="shared" si="15"/>
        <v/>
      </c>
    </row>
    <row r="990" spans="1:7">
      <c r="A990" s="1">
        <v>49629</v>
      </c>
      <c r="B990" t="s">
        <v>30</v>
      </c>
      <c r="C990">
        <v>29.5</v>
      </c>
      <c r="D990">
        <v>0</v>
      </c>
      <c r="E990" s="2">
        <f>C990*D990 / 100</f>
        <v>0</v>
      </c>
      <c r="F990">
        <f>IF(F989 &lt; 7, F989 +1,1)</f>
        <v>2</v>
      </c>
      <c r="G990" t="str">
        <f t="shared" si="15"/>
        <v/>
      </c>
    </row>
    <row r="991" spans="1:7">
      <c r="A991" s="1">
        <v>49630</v>
      </c>
      <c r="B991" t="s">
        <v>29</v>
      </c>
      <c r="C991">
        <v>21</v>
      </c>
      <c r="D991">
        <v>10.3</v>
      </c>
      <c r="E991" s="2">
        <f>C991*D991 / 100</f>
        <v>2.1630000000000003</v>
      </c>
      <c r="F991">
        <f>IF(F990 &lt; 7, F990 +1,1)</f>
        <v>3</v>
      </c>
      <c r="G991" t="str">
        <f t="shared" si="15"/>
        <v/>
      </c>
    </row>
    <row r="992" spans="1:7">
      <c r="A992" s="1">
        <v>49631</v>
      </c>
      <c r="B992" t="s">
        <v>18</v>
      </c>
      <c r="C992">
        <v>11.4</v>
      </c>
      <c r="D992">
        <v>3.2</v>
      </c>
      <c r="E992" s="2">
        <f>C992*D992 / 100</f>
        <v>0.36480000000000001</v>
      </c>
      <c r="F992">
        <f>IF(F991 &lt; 7, F991 +1,1)</f>
        <v>4</v>
      </c>
      <c r="G992" t="str">
        <f t="shared" si="15"/>
        <v/>
      </c>
    </row>
    <row r="993" spans="1:7">
      <c r="A993" s="1">
        <v>49632</v>
      </c>
      <c r="B993" t="s">
        <v>21</v>
      </c>
      <c r="C993">
        <v>12.7</v>
      </c>
      <c r="D993">
        <v>0</v>
      </c>
      <c r="E993" s="2">
        <f>C993*D993 / 100</f>
        <v>0</v>
      </c>
      <c r="F993">
        <f>IF(F992 &lt; 7, F992 +1,1)</f>
        <v>5</v>
      </c>
      <c r="G993" t="str">
        <f t="shared" si="15"/>
        <v/>
      </c>
    </row>
    <row r="994" spans="1:7">
      <c r="A994" s="1">
        <v>49633</v>
      </c>
      <c r="B994" t="s">
        <v>10</v>
      </c>
      <c r="C994">
        <v>14.1</v>
      </c>
      <c r="D994">
        <v>6.2</v>
      </c>
      <c r="E994" s="2">
        <f>C994*D994 / 100</f>
        <v>0.87419999999999998</v>
      </c>
      <c r="F994">
        <f>IF(F993 &lt; 7, F993 +1,1)</f>
        <v>6</v>
      </c>
      <c r="G994" t="str">
        <f t="shared" si="15"/>
        <v/>
      </c>
    </row>
    <row r="995" spans="1:7">
      <c r="A995" s="1">
        <v>49634</v>
      </c>
      <c r="B995" t="s">
        <v>21</v>
      </c>
      <c r="C995">
        <v>29.5</v>
      </c>
      <c r="D995">
        <v>29.9</v>
      </c>
      <c r="E995" s="2">
        <f>C995*D995 / 100</f>
        <v>8.8204999999999991</v>
      </c>
      <c r="F995">
        <f>IF(F994 &lt; 7, F994 +1,1)</f>
        <v>7</v>
      </c>
      <c r="G995">
        <f t="shared" si="15"/>
        <v>136.19999999999999</v>
      </c>
    </row>
    <row r="996" spans="1:7">
      <c r="A996" s="1">
        <v>49635</v>
      </c>
      <c r="B996" t="s">
        <v>24</v>
      </c>
      <c r="C996">
        <v>18.399999999999999</v>
      </c>
      <c r="D996">
        <v>0</v>
      </c>
      <c r="E996" s="2">
        <f>C996*D996 / 100</f>
        <v>0</v>
      </c>
      <c r="F996">
        <f>IF(F995 &lt; 7, F995 +1,1)</f>
        <v>1</v>
      </c>
      <c r="G996" t="str">
        <f t="shared" si="15"/>
        <v/>
      </c>
    </row>
    <row r="997" spans="1:7">
      <c r="A997" s="1">
        <v>49636</v>
      </c>
      <c r="B997" t="s">
        <v>21</v>
      </c>
      <c r="C997">
        <v>29.6</v>
      </c>
      <c r="D997">
        <v>43.9</v>
      </c>
      <c r="E997" s="2">
        <f>C997*D997 / 100</f>
        <v>12.994400000000001</v>
      </c>
      <c r="F997">
        <f>IF(F996 &lt; 7, F996 +1,1)</f>
        <v>2</v>
      </c>
      <c r="G997" t="str">
        <f t="shared" si="15"/>
        <v/>
      </c>
    </row>
    <row r="998" spans="1:7">
      <c r="A998" s="1">
        <v>49637</v>
      </c>
      <c r="B998" t="s">
        <v>33</v>
      </c>
      <c r="C998">
        <v>22.6</v>
      </c>
      <c r="D998">
        <v>14.6</v>
      </c>
      <c r="E998" s="2">
        <f>C998*D998 / 100</f>
        <v>3.2996000000000003</v>
      </c>
      <c r="F998">
        <f>IF(F997 &lt; 7, F997 +1,1)</f>
        <v>3</v>
      </c>
      <c r="G998" t="str">
        <f t="shared" si="15"/>
        <v/>
      </c>
    </row>
    <row r="999" spans="1:7">
      <c r="A999" s="1">
        <v>49638</v>
      </c>
      <c r="B999" t="s">
        <v>11</v>
      </c>
      <c r="C999">
        <v>13.2</v>
      </c>
      <c r="D999">
        <v>6.7</v>
      </c>
      <c r="E999" s="2">
        <f>C999*D999 / 100</f>
        <v>0.88439999999999996</v>
      </c>
      <c r="F999">
        <f>IF(F998 &lt; 7, F998 +1,1)</f>
        <v>4</v>
      </c>
      <c r="G999" t="str">
        <f t="shared" si="15"/>
        <v/>
      </c>
    </row>
    <row r="1000" spans="1:7">
      <c r="A1000" s="1">
        <v>49639</v>
      </c>
      <c r="B1000" t="s">
        <v>30</v>
      </c>
      <c r="C1000">
        <v>10.4</v>
      </c>
      <c r="D1000">
        <v>8.5</v>
      </c>
      <c r="E1000" s="2">
        <f>C1000*D1000 / 100</f>
        <v>0.88400000000000001</v>
      </c>
      <c r="F1000">
        <f>IF(F999 &lt; 7, F999 +1,1)</f>
        <v>5</v>
      </c>
      <c r="G1000" t="str">
        <f t="shared" si="15"/>
        <v/>
      </c>
    </row>
    <row r="1001" spans="1:7">
      <c r="A1001" s="1">
        <v>49640</v>
      </c>
      <c r="B1001" t="s">
        <v>19</v>
      </c>
      <c r="C1001">
        <v>16.899999999999999</v>
      </c>
      <c r="D1001">
        <v>16.399999999999999</v>
      </c>
      <c r="E1001" s="2">
        <f>C1001*D1001 / 100</f>
        <v>2.7715999999999998</v>
      </c>
      <c r="F1001">
        <f>IF(F1000 &lt; 7, F1000 +1,1)</f>
        <v>6</v>
      </c>
      <c r="G1001" t="str">
        <f t="shared" si="15"/>
        <v/>
      </c>
    </row>
    <row r="1002" spans="1:7">
      <c r="A1002" s="1">
        <v>49641</v>
      </c>
      <c r="B1002" t="s">
        <v>33</v>
      </c>
      <c r="C1002">
        <v>19.399999999999999</v>
      </c>
      <c r="D1002">
        <v>0</v>
      </c>
      <c r="E1002" s="2">
        <f>C1002*D1002 / 100</f>
        <v>0</v>
      </c>
      <c r="F1002">
        <f>IF(F1001 &lt; 7, F1001 +1,1)</f>
        <v>7</v>
      </c>
      <c r="G1002">
        <f t="shared" si="15"/>
        <v>130.5</v>
      </c>
    </row>
    <row r="1003" spans="1:7">
      <c r="A1003" s="1">
        <v>49642</v>
      </c>
      <c r="B1003" t="s">
        <v>13</v>
      </c>
      <c r="C1003">
        <v>16.899999999999999</v>
      </c>
      <c r="D1003">
        <v>1</v>
      </c>
      <c r="E1003" s="2">
        <f>C1003*D1003 / 100</f>
        <v>0.16899999999999998</v>
      </c>
      <c r="F1003">
        <f>IF(F1002 &lt; 7, F1002 +1,1)</f>
        <v>1</v>
      </c>
      <c r="G1003" t="str">
        <f t="shared" si="15"/>
        <v/>
      </c>
    </row>
    <row r="1004" spans="1:7">
      <c r="A1004" s="1">
        <v>49643</v>
      </c>
      <c r="B1004" t="s">
        <v>21</v>
      </c>
      <c r="C1004">
        <v>18.399999999999999</v>
      </c>
      <c r="D1004">
        <v>0</v>
      </c>
      <c r="E1004" s="2">
        <f>C1004*D1004 / 100</f>
        <v>0</v>
      </c>
      <c r="F1004">
        <f>IF(F1003 &lt; 7, F1003 +1,1)</f>
        <v>2</v>
      </c>
      <c r="G1004" t="str">
        <f t="shared" si="15"/>
        <v/>
      </c>
    </row>
    <row r="1005" spans="1:7">
      <c r="A1005" s="1">
        <v>49644</v>
      </c>
      <c r="B1005" t="s">
        <v>33</v>
      </c>
      <c r="C1005">
        <v>13.4</v>
      </c>
      <c r="D1005">
        <v>12.8</v>
      </c>
      <c r="E1005" s="2">
        <f>C1005*D1005 / 100</f>
        <v>1.7152000000000001</v>
      </c>
      <c r="F1005">
        <f>IF(F1004 &lt; 7, F1004 +1,1)</f>
        <v>3</v>
      </c>
      <c r="G1005" t="str">
        <f t="shared" si="15"/>
        <v/>
      </c>
    </row>
    <row r="1006" spans="1:7">
      <c r="A1006" s="1">
        <v>49645</v>
      </c>
      <c r="B1006" t="s">
        <v>16</v>
      </c>
      <c r="C1006">
        <v>28.8</v>
      </c>
      <c r="D1006">
        <v>0</v>
      </c>
      <c r="E1006" s="2">
        <f>C1006*D1006 / 100</f>
        <v>0</v>
      </c>
      <c r="F1006">
        <f>IF(F1005 &lt; 7, F1005 +1,1)</f>
        <v>4</v>
      </c>
      <c r="G1006" t="str">
        <f t="shared" si="15"/>
        <v/>
      </c>
    </row>
    <row r="1007" spans="1:7">
      <c r="A1007" s="1">
        <v>49646</v>
      </c>
      <c r="B1007" t="s">
        <v>19</v>
      </c>
      <c r="C1007">
        <v>19.5</v>
      </c>
      <c r="D1007">
        <v>1.3</v>
      </c>
      <c r="E1007" s="2">
        <f>C1007*D1007 / 100</f>
        <v>0.2535</v>
      </c>
      <c r="F1007">
        <f>IF(F1006 &lt; 7, F1006 +1,1)</f>
        <v>5</v>
      </c>
      <c r="G1007" t="str">
        <f t="shared" si="15"/>
        <v/>
      </c>
    </row>
    <row r="1008" spans="1:7">
      <c r="A1008" s="1">
        <v>49647</v>
      </c>
      <c r="B1008" t="s">
        <v>9</v>
      </c>
      <c r="C1008">
        <v>29</v>
      </c>
      <c r="D1008">
        <v>14</v>
      </c>
      <c r="E1008" s="2">
        <f>C1008*D1008 / 100</f>
        <v>4.0599999999999996</v>
      </c>
      <c r="F1008">
        <f>IF(F1007 &lt; 7, F1007 +1,1)</f>
        <v>6</v>
      </c>
      <c r="G1008" t="str">
        <f t="shared" si="15"/>
        <v/>
      </c>
    </row>
    <row r="1009" spans="1:7">
      <c r="A1009" s="1">
        <v>49648</v>
      </c>
      <c r="B1009" t="s">
        <v>21</v>
      </c>
      <c r="C1009">
        <v>29.6</v>
      </c>
      <c r="D1009">
        <v>28.7</v>
      </c>
      <c r="E1009" s="2">
        <f>C1009*D1009 / 100</f>
        <v>8.4952000000000005</v>
      </c>
      <c r="F1009">
        <f>IF(F1008 &lt; 7, F1008 +1,1)</f>
        <v>7</v>
      </c>
      <c r="G1009">
        <f t="shared" si="15"/>
        <v>155.6</v>
      </c>
    </row>
    <row r="1010" spans="1:7">
      <c r="A1010" s="1">
        <v>49649</v>
      </c>
      <c r="B1010" t="s">
        <v>30</v>
      </c>
      <c r="C1010">
        <v>26.5</v>
      </c>
      <c r="D1010">
        <v>0</v>
      </c>
      <c r="E1010" s="2">
        <f>C1010*D1010 / 100</f>
        <v>0</v>
      </c>
      <c r="F1010">
        <f>IF(F1009 &lt; 7, F1009 +1,1)</f>
        <v>1</v>
      </c>
      <c r="G1010" t="str">
        <f t="shared" si="15"/>
        <v/>
      </c>
    </row>
    <row r="1011" spans="1:7">
      <c r="A1011" s="1">
        <v>49650</v>
      </c>
      <c r="B1011" t="s">
        <v>29</v>
      </c>
      <c r="C1011">
        <v>24.8</v>
      </c>
      <c r="D1011">
        <v>12.1</v>
      </c>
      <c r="E1011" s="2">
        <f>C1011*D1011 / 100</f>
        <v>3.0007999999999999</v>
      </c>
      <c r="F1011">
        <f>IF(F1010 &lt; 7, F1010 +1,1)</f>
        <v>2</v>
      </c>
      <c r="G1011" t="str">
        <f t="shared" si="15"/>
        <v/>
      </c>
    </row>
    <row r="1012" spans="1:7">
      <c r="A1012" s="1">
        <v>49651</v>
      </c>
      <c r="B1012" t="s">
        <v>21</v>
      </c>
      <c r="C1012">
        <v>20</v>
      </c>
      <c r="D1012">
        <v>14.7</v>
      </c>
      <c r="E1012" s="2">
        <f>C1012*D1012 / 100</f>
        <v>2.94</v>
      </c>
      <c r="F1012">
        <f>IF(F1011 &lt; 7, F1011 +1,1)</f>
        <v>3</v>
      </c>
      <c r="G1012" t="str">
        <f t="shared" si="15"/>
        <v/>
      </c>
    </row>
    <row r="1013" spans="1:7">
      <c r="A1013" s="1">
        <v>49652</v>
      </c>
      <c r="B1013" t="s">
        <v>36</v>
      </c>
      <c r="C1013">
        <v>16.899999999999999</v>
      </c>
      <c r="D1013">
        <v>38.299999999999997</v>
      </c>
      <c r="E1013" s="2">
        <f>C1013*D1013 / 100</f>
        <v>6.4726999999999988</v>
      </c>
      <c r="F1013">
        <f>IF(F1012 &lt; 7, F1012 +1,1)</f>
        <v>4</v>
      </c>
      <c r="G1013" t="str">
        <f t="shared" si="15"/>
        <v/>
      </c>
    </row>
    <row r="1014" spans="1:7">
      <c r="A1014" s="1">
        <v>49653</v>
      </c>
      <c r="B1014" t="s">
        <v>21</v>
      </c>
      <c r="C1014">
        <v>11.5</v>
      </c>
      <c r="D1014">
        <v>24.7</v>
      </c>
      <c r="E1014" s="2">
        <f>C1014*D1014 / 100</f>
        <v>2.8405</v>
      </c>
      <c r="F1014">
        <f>IF(F1013 &lt; 7, F1013 +1,1)</f>
        <v>5</v>
      </c>
      <c r="G1014" t="str">
        <f t="shared" si="15"/>
        <v/>
      </c>
    </row>
    <row r="1015" spans="1:7">
      <c r="A1015" s="1">
        <v>49654</v>
      </c>
      <c r="B1015" t="s">
        <v>19</v>
      </c>
      <c r="C1015">
        <v>11.4</v>
      </c>
      <c r="D1015">
        <v>0</v>
      </c>
      <c r="E1015" s="2">
        <f>C1015*D1015 / 100</f>
        <v>0</v>
      </c>
      <c r="F1015">
        <f>IF(F1014 &lt; 7, F1014 +1,1)</f>
        <v>6</v>
      </c>
      <c r="G1015" t="str">
        <f t="shared" si="15"/>
        <v/>
      </c>
    </row>
    <row r="1016" spans="1:7">
      <c r="A1016" s="1">
        <v>49655</v>
      </c>
      <c r="B1016" t="s">
        <v>30</v>
      </c>
      <c r="C1016">
        <v>28.5</v>
      </c>
      <c r="D1016">
        <v>0</v>
      </c>
      <c r="E1016" s="2">
        <f>C1016*D1016 / 100</f>
        <v>0</v>
      </c>
      <c r="F1016">
        <f>IF(F1015 &lt; 7, F1015 +1,1)</f>
        <v>7</v>
      </c>
      <c r="G1016">
        <f t="shared" si="15"/>
        <v>139.6</v>
      </c>
    </row>
    <row r="1017" spans="1:7">
      <c r="A1017" s="1">
        <v>49656</v>
      </c>
      <c r="B1017" t="s">
        <v>24</v>
      </c>
      <c r="C1017">
        <v>27.9</v>
      </c>
      <c r="D1017">
        <v>0.7</v>
      </c>
      <c r="E1017" s="2">
        <f>C1017*D1017 / 100</f>
        <v>0.19529999999999997</v>
      </c>
      <c r="F1017">
        <f>IF(F1016 &lt; 7, F1016 +1,1)</f>
        <v>1</v>
      </c>
      <c r="G1017" t="str">
        <f t="shared" si="15"/>
        <v/>
      </c>
    </row>
    <row r="1018" spans="1:7">
      <c r="A1018" s="1">
        <v>49657</v>
      </c>
      <c r="B1018" t="s">
        <v>16</v>
      </c>
      <c r="C1018">
        <v>26.7</v>
      </c>
      <c r="D1018">
        <v>15.5</v>
      </c>
      <c r="E1018" s="2">
        <f>C1018*D1018 / 100</f>
        <v>4.1384999999999996</v>
      </c>
      <c r="F1018">
        <f>IF(F1017 &lt; 7, F1017 +1,1)</f>
        <v>2</v>
      </c>
      <c r="G1018" t="str">
        <f t="shared" si="15"/>
        <v/>
      </c>
    </row>
    <row r="1019" spans="1:7">
      <c r="A1019" s="1">
        <v>49658</v>
      </c>
      <c r="B1019" t="s">
        <v>29</v>
      </c>
      <c r="C1019">
        <v>28.3</v>
      </c>
      <c r="D1019">
        <v>6.8</v>
      </c>
      <c r="E1019" s="2">
        <f>C1019*D1019 / 100</f>
        <v>1.9243999999999999</v>
      </c>
      <c r="F1019">
        <f>IF(F1018 &lt; 7, F1018 +1,1)</f>
        <v>3</v>
      </c>
      <c r="G1019" t="str">
        <f t="shared" si="15"/>
        <v/>
      </c>
    </row>
    <row r="1020" spans="1:7">
      <c r="A1020" s="1">
        <v>49659</v>
      </c>
      <c r="B1020" t="s">
        <v>21</v>
      </c>
      <c r="C1020">
        <v>28.9</v>
      </c>
      <c r="D1020">
        <v>0</v>
      </c>
      <c r="E1020" s="2">
        <f>C1020*D1020 / 100</f>
        <v>0</v>
      </c>
      <c r="F1020">
        <f>IF(F1019 &lt; 7, F1019 +1,1)</f>
        <v>4</v>
      </c>
      <c r="G1020" t="str">
        <f t="shared" si="15"/>
        <v/>
      </c>
    </row>
    <row r="1021" spans="1:7">
      <c r="A1021" s="1">
        <v>49660</v>
      </c>
      <c r="B1021" t="s">
        <v>18</v>
      </c>
      <c r="C1021">
        <v>21.6</v>
      </c>
      <c r="D1021">
        <v>4</v>
      </c>
      <c r="E1021" s="2">
        <f>C1021*D1021 / 100</f>
        <v>0.8640000000000001</v>
      </c>
      <c r="F1021">
        <f>IF(F1020 &lt; 7, F1020 +1,1)</f>
        <v>5</v>
      </c>
      <c r="G1021" t="str">
        <f t="shared" si="15"/>
        <v/>
      </c>
    </row>
    <row r="1022" spans="1:7">
      <c r="A1022" s="1">
        <v>49661</v>
      </c>
      <c r="B1022" t="s">
        <v>6</v>
      </c>
      <c r="C1022">
        <v>16.5</v>
      </c>
      <c r="D1022">
        <v>4.2</v>
      </c>
      <c r="E1022" s="2">
        <f>C1022*D1022 / 100</f>
        <v>0.69299999999999995</v>
      </c>
      <c r="F1022">
        <f>IF(F1021 &lt; 7, F1021 +1,1)</f>
        <v>6</v>
      </c>
      <c r="G1022" t="str">
        <f t="shared" si="15"/>
        <v/>
      </c>
    </row>
    <row r="1023" spans="1:7">
      <c r="A1023" s="1">
        <v>49662</v>
      </c>
      <c r="B1023" t="s">
        <v>19</v>
      </c>
      <c r="C1023">
        <v>24.6</v>
      </c>
      <c r="D1023">
        <v>10.6</v>
      </c>
      <c r="E1023" s="2">
        <f>C1023*D1023 / 100</f>
        <v>2.6075999999999997</v>
      </c>
      <c r="F1023">
        <f>IF(F1022 &lt; 7, F1022 +1,1)</f>
        <v>7</v>
      </c>
      <c r="G1023">
        <f t="shared" si="15"/>
        <v>174.49999999999997</v>
      </c>
    </row>
    <row r="1024" spans="1:7">
      <c r="A1024" s="1">
        <v>49663</v>
      </c>
      <c r="B1024" t="s">
        <v>21</v>
      </c>
      <c r="C1024">
        <v>28.9</v>
      </c>
      <c r="D1024">
        <v>40.799999999999997</v>
      </c>
      <c r="E1024" s="2">
        <f>C1024*D1024 / 100</f>
        <v>11.791199999999998</v>
      </c>
      <c r="F1024">
        <f>IF(F1023 &lt; 7, F1023 +1,1)</f>
        <v>1</v>
      </c>
      <c r="G1024" t="str">
        <f t="shared" si="15"/>
        <v/>
      </c>
    </row>
    <row r="1025" spans="1:7">
      <c r="A1025" s="1">
        <v>49664</v>
      </c>
      <c r="B1025" t="s">
        <v>21</v>
      </c>
      <c r="C1025">
        <v>22.1</v>
      </c>
      <c r="D1025">
        <v>10</v>
      </c>
      <c r="E1025" s="2">
        <f>C1025*D1025 / 100</f>
        <v>2.21</v>
      </c>
      <c r="F1025">
        <f>IF(F1024 &lt; 7, F1024 +1,1)</f>
        <v>2</v>
      </c>
      <c r="G1025" t="str">
        <f t="shared" si="15"/>
        <v/>
      </c>
    </row>
    <row r="1026" spans="1:7">
      <c r="A1026" s="1">
        <v>49665</v>
      </c>
      <c r="B1026" t="s">
        <v>28</v>
      </c>
      <c r="C1026">
        <v>29.3</v>
      </c>
      <c r="D1026">
        <v>0</v>
      </c>
      <c r="E1026" s="2">
        <f>C1026*D1026 / 100</f>
        <v>0</v>
      </c>
      <c r="F1026">
        <f>IF(F1025 &lt; 7, F1025 +1,1)</f>
        <v>3</v>
      </c>
      <c r="G1026" t="str">
        <f t="shared" si="15"/>
        <v/>
      </c>
    </row>
    <row r="1027" spans="1:7">
      <c r="A1027" s="1">
        <v>49666</v>
      </c>
      <c r="B1027" t="s">
        <v>29</v>
      </c>
      <c r="C1027">
        <v>18.8</v>
      </c>
      <c r="D1027">
        <v>4.7</v>
      </c>
      <c r="E1027" s="2">
        <f>C1027*D1027 / 100</f>
        <v>0.88360000000000016</v>
      </c>
      <c r="F1027">
        <f>IF(F1026 &lt; 7, F1026 +1,1)</f>
        <v>4</v>
      </c>
      <c r="G1027" t="str">
        <f t="shared" si="15"/>
        <v/>
      </c>
    </row>
    <row r="1028" spans="1:7">
      <c r="A1028" s="1">
        <v>49667</v>
      </c>
      <c r="B1028" t="s">
        <v>36</v>
      </c>
      <c r="C1028">
        <v>26.5</v>
      </c>
      <c r="D1028">
        <v>7.3</v>
      </c>
      <c r="E1028" s="2">
        <f>C1028*D1028 / 100</f>
        <v>1.9344999999999999</v>
      </c>
      <c r="F1028">
        <f>IF(F1027 &lt; 7, F1027 +1,1)</f>
        <v>5</v>
      </c>
      <c r="G1028" t="str">
        <f t="shared" si="15"/>
        <v/>
      </c>
    </row>
    <row r="1029" spans="1:7">
      <c r="A1029" s="1">
        <v>49668</v>
      </c>
      <c r="B1029" t="s">
        <v>9</v>
      </c>
      <c r="C1029">
        <v>24</v>
      </c>
      <c r="D1029">
        <v>0</v>
      </c>
      <c r="E1029" s="2">
        <f>C1029*D1029 / 100</f>
        <v>0</v>
      </c>
      <c r="F1029">
        <f>IF(F1028 &lt; 7, F1028 +1,1)</f>
        <v>6</v>
      </c>
      <c r="G1029" t="str">
        <f t="shared" si="15"/>
        <v/>
      </c>
    </row>
    <row r="1030" spans="1:7">
      <c r="A1030" s="1">
        <v>49669</v>
      </c>
      <c r="B1030" t="s">
        <v>36</v>
      </c>
      <c r="C1030">
        <v>21</v>
      </c>
      <c r="D1030">
        <v>12.2</v>
      </c>
      <c r="E1030" s="2">
        <f>C1030*D1030 / 100</f>
        <v>2.5619999999999998</v>
      </c>
      <c r="F1030">
        <f>IF(F1029 &lt; 7, F1029 +1,1)</f>
        <v>7</v>
      </c>
      <c r="G1030">
        <f t="shared" si="15"/>
        <v>170.6</v>
      </c>
    </row>
    <row r="1031" spans="1:7">
      <c r="A1031" s="1">
        <v>49670</v>
      </c>
      <c r="B1031" t="s">
        <v>23</v>
      </c>
      <c r="C1031">
        <v>28.1</v>
      </c>
      <c r="D1031">
        <v>6.7</v>
      </c>
      <c r="E1031" s="2">
        <f>C1031*D1031 / 100</f>
        <v>1.8827</v>
      </c>
      <c r="F1031">
        <f>IF(F1030 &lt; 7, F1030 +1,1)</f>
        <v>1</v>
      </c>
      <c r="G1031" t="str">
        <f t="shared" si="15"/>
        <v/>
      </c>
    </row>
    <row r="1032" spans="1:7">
      <c r="A1032" s="1">
        <v>49671</v>
      </c>
      <c r="B1032" t="s">
        <v>11</v>
      </c>
      <c r="C1032">
        <v>23.3</v>
      </c>
      <c r="D1032">
        <v>4.8</v>
      </c>
      <c r="E1032" s="2">
        <f>C1032*D1032 / 100</f>
        <v>1.1184000000000001</v>
      </c>
      <c r="F1032">
        <f>IF(F1031 &lt; 7, F1031 +1,1)</f>
        <v>2</v>
      </c>
      <c r="G1032" t="str">
        <f t="shared" si="15"/>
        <v/>
      </c>
    </row>
    <row r="1033" spans="1:7">
      <c r="A1033" s="1">
        <v>49672</v>
      </c>
      <c r="B1033" t="s">
        <v>23</v>
      </c>
      <c r="C1033">
        <v>14.3</v>
      </c>
      <c r="D1033">
        <v>1.5</v>
      </c>
      <c r="E1033" s="2">
        <f>C1033*D1033 / 100</f>
        <v>0.21450000000000002</v>
      </c>
      <c r="F1033">
        <f>IF(F1032 &lt; 7, F1032 +1,1)</f>
        <v>3</v>
      </c>
      <c r="G1033" t="str">
        <f t="shared" ref="G1033:G1096" si="16">IF(F1033=7, SUM(C1027:C1033), "")</f>
        <v/>
      </c>
    </row>
    <row r="1034" spans="1:7">
      <c r="A1034" s="1">
        <v>49673</v>
      </c>
      <c r="B1034" t="s">
        <v>35</v>
      </c>
      <c r="C1034">
        <v>12.6</v>
      </c>
      <c r="D1034">
        <v>1.1000000000000001</v>
      </c>
      <c r="E1034" s="2">
        <f>C1034*D1034 / 100</f>
        <v>0.1386</v>
      </c>
      <c r="F1034">
        <f>IF(F1033 &lt; 7, F1033 +1,1)</f>
        <v>4</v>
      </c>
      <c r="G1034" t="str">
        <f t="shared" si="16"/>
        <v/>
      </c>
    </row>
    <row r="1035" spans="1:7">
      <c r="A1035" s="1">
        <v>49674</v>
      </c>
      <c r="B1035" t="s">
        <v>36</v>
      </c>
      <c r="C1035">
        <v>18.100000000000001</v>
      </c>
      <c r="D1035">
        <v>0</v>
      </c>
      <c r="E1035" s="2">
        <f>C1035*D1035 / 100</f>
        <v>0</v>
      </c>
      <c r="F1035">
        <f>IF(F1034 &lt; 7, F1034 +1,1)</f>
        <v>5</v>
      </c>
      <c r="G1035" t="str">
        <f t="shared" si="16"/>
        <v/>
      </c>
    </row>
    <row r="1036" spans="1:7">
      <c r="A1036" s="1">
        <v>49675</v>
      </c>
      <c r="B1036" t="s">
        <v>33</v>
      </c>
      <c r="C1036">
        <v>19</v>
      </c>
      <c r="D1036">
        <v>11</v>
      </c>
      <c r="E1036" s="2">
        <f>C1036*D1036 / 100</f>
        <v>2.09</v>
      </c>
      <c r="F1036">
        <f>IF(F1035 &lt; 7, F1035 +1,1)</f>
        <v>6</v>
      </c>
      <c r="G1036" t="str">
        <f t="shared" si="16"/>
        <v/>
      </c>
    </row>
    <row r="1037" spans="1:7">
      <c r="A1037" s="1">
        <v>49676</v>
      </c>
      <c r="B1037" t="s">
        <v>11</v>
      </c>
      <c r="C1037">
        <v>13.1</v>
      </c>
      <c r="D1037">
        <v>0</v>
      </c>
      <c r="E1037" s="2">
        <f>C1037*D1037 / 100</f>
        <v>0</v>
      </c>
      <c r="F1037">
        <f>IF(F1036 &lt; 7, F1036 +1,1)</f>
        <v>7</v>
      </c>
      <c r="G1037">
        <f t="shared" si="16"/>
        <v>128.5</v>
      </c>
    </row>
    <row r="1038" spans="1:7">
      <c r="A1038" s="1">
        <v>49677</v>
      </c>
      <c r="B1038" t="s">
        <v>19</v>
      </c>
      <c r="C1038">
        <v>17.3</v>
      </c>
      <c r="D1038">
        <v>1.1000000000000001</v>
      </c>
      <c r="E1038" s="2">
        <f>C1038*D1038 / 100</f>
        <v>0.19030000000000002</v>
      </c>
      <c r="F1038">
        <f>IF(F1037 &lt; 7, F1037 +1,1)</f>
        <v>1</v>
      </c>
      <c r="G1038" t="str">
        <f t="shared" si="16"/>
        <v/>
      </c>
    </row>
    <row r="1039" spans="1:7">
      <c r="A1039" s="1">
        <v>49678</v>
      </c>
      <c r="B1039" t="s">
        <v>23</v>
      </c>
      <c r="C1039">
        <v>23.7</v>
      </c>
      <c r="D1039">
        <v>5.9</v>
      </c>
      <c r="E1039" s="2">
        <f>C1039*D1039 / 100</f>
        <v>1.3983000000000001</v>
      </c>
      <c r="F1039">
        <f>IF(F1038 &lt; 7, F1038 +1,1)</f>
        <v>2</v>
      </c>
      <c r="G1039" t="str">
        <f t="shared" si="16"/>
        <v/>
      </c>
    </row>
    <row r="1040" spans="1:7">
      <c r="A1040" s="1">
        <v>49679</v>
      </c>
      <c r="B1040" t="s">
        <v>32</v>
      </c>
      <c r="C1040">
        <v>26.3</v>
      </c>
      <c r="D1040">
        <v>0</v>
      </c>
      <c r="E1040" s="2">
        <f>C1040*D1040 / 100</f>
        <v>0</v>
      </c>
      <c r="F1040">
        <f>IF(F1039 &lt; 7, F1039 +1,1)</f>
        <v>3</v>
      </c>
      <c r="G1040" t="str">
        <f t="shared" si="16"/>
        <v/>
      </c>
    </row>
    <row r="1041" spans="1:7">
      <c r="A1041" s="1">
        <v>49680</v>
      </c>
      <c r="B1041" t="s">
        <v>33</v>
      </c>
      <c r="C1041">
        <v>16.399999999999999</v>
      </c>
      <c r="D1041">
        <v>0</v>
      </c>
      <c r="E1041" s="2">
        <f>C1041*D1041 / 100</f>
        <v>0</v>
      </c>
      <c r="F1041">
        <f>IF(F1040 &lt; 7, F1040 +1,1)</f>
        <v>4</v>
      </c>
      <c r="G1041" t="str">
        <f t="shared" si="16"/>
        <v/>
      </c>
    </row>
    <row r="1042" spans="1:7">
      <c r="A1042" s="1">
        <v>49681</v>
      </c>
      <c r="B1042" t="s">
        <v>26</v>
      </c>
      <c r="C1042">
        <v>13</v>
      </c>
      <c r="D1042">
        <v>0</v>
      </c>
      <c r="E1042" s="2">
        <f>C1042*D1042 / 100</f>
        <v>0</v>
      </c>
      <c r="F1042">
        <f>IF(F1041 &lt; 7, F1041 +1,1)</f>
        <v>5</v>
      </c>
      <c r="G1042" t="str">
        <f t="shared" si="16"/>
        <v/>
      </c>
    </row>
    <row r="1043" spans="1:7">
      <c r="A1043" s="1">
        <v>49682</v>
      </c>
      <c r="B1043" t="s">
        <v>9</v>
      </c>
      <c r="C1043">
        <v>28.6</v>
      </c>
      <c r="D1043">
        <v>1</v>
      </c>
      <c r="E1043" s="2">
        <f>C1043*D1043 / 100</f>
        <v>0.28600000000000003</v>
      </c>
      <c r="F1043">
        <f>IF(F1042 &lt; 7, F1042 +1,1)</f>
        <v>6</v>
      </c>
      <c r="G1043" t="str">
        <f t="shared" si="16"/>
        <v/>
      </c>
    </row>
    <row r="1044" spans="1:7">
      <c r="A1044" s="1">
        <v>49683</v>
      </c>
      <c r="B1044" t="s">
        <v>21</v>
      </c>
      <c r="C1044">
        <v>11.1</v>
      </c>
      <c r="D1044">
        <v>2.4</v>
      </c>
      <c r="E1044" s="2">
        <f>C1044*D1044 / 100</f>
        <v>0.26639999999999997</v>
      </c>
      <c r="F1044">
        <f>IF(F1043 &lt; 7, F1043 +1,1)</f>
        <v>7</v>
      </c>
      <c r="G1044">
        <f t="shared" si="16"/>
        <v>136.39999999999998</v>
      </c>
    </row>
    <row r="1045" spans="1:7">
      <c r="A1045" s="1">
        <v>49684</v>
      </c>
      <c r="B1045" t="s">
        <v>13</v>
      </c>
      <c r="C1045">
        <v>12.9</v>
      </c>
      <c r="D1045">
        <v>2.9</v>
      </c>
      <c r="E1045" s="2">
        <f>C1045*D1045 / 100</f>
        <v>0.37409999999999999</v>
      </c>
      <c r="F1045">
        <f>IF(F1044 &lt; 7, F1044 +1,1)</f>
        <v>1</v>
      </c>
      <c r="G1045" t="str">
        <f t="shared" si="16"/>
        <v/>
      </c>
    </row>
    <row r="1046" spans="1:7">
      <c r="A1046" s="1">
        <v>49685</v>
      </c>
      <c r="B1046" t="s">
        <v>17</v>
      </c>
      <c r="C1046">
        <v>28.4</v>
      </c>
      <c r="D1046">
        <v>0.9</v>
      </c>
      <c r="E1046" s="2">
        <f>C1046*D1046 / 100</f>
        <v>0.25559999999999999</v>
      </c>
      <c r="F1046">
        <f>IF(F1045 &lt; 7, F1045 +1,1)</f>
        <v>2</v>
      </c>
      <c r="G1046" t="str">
        <f t="shared" si="16"/>
        <v/>
      </c>
    </row>
    <row r="1047" spans="1:7">
      <c r="A1047" s="1">
        <v>49686</v>
      </c>
      <c r="B1047" t="s">
        <v>36</v>
      </c>
      <c r="C1047">
        <v>21.8</v>
      </c>
      <c r="D1047">
        <v>3.4</v>
      </c>
      <c r="E1047" s="2">
        <f>C1047*D1047 / 100</f>
        <v>0.74120000000000008</v>
      </c>
      <c r="F1047">
        <f>IF(F1046 &lt; 7, F1046 +1,1)</f>
        <v>3</v>
      </c>
      <c r="G1047" t="str">
        <f t="shared" si="16"/>
        <v/>
      </c>
    </row>
    <row r="1048" spans="1:7">
      <c r="A1048" s="1">
        <v>49687</v>
      </c>
      <c r="B1048" t="s">
        <v>30</v>
      </c>
      <c r="C1048">
        <v>20.8</v>
      </c>
      <c r="D1048">
        <v>11.8</v>
      </c>
      <c r="E1048" s="2">
        <f>C1048*D1048 / 100</f>
        <v>2.4544000000000001</v>
      </c>
      <c r="F1048">
        <f>IF(F1047 &lt; 7, F1047 +1,1)</f>
        <v>4</v>
      </c>
      <c r="G1048" t="str">
        <f t="shared" si="16"/>
        <v/>
      </c>
    </row>
    <row r="1049" spans="1:7">
      <c r="A1049" s="1">
        <v>49688</v>
      </c>
      <c r="B1049" t="s">
        <v>19</v>
      </c>
      <c r="C1049">
        <v>17.399999999999999</v>
      </c>
      <c r="D1049">
        <v>0</v>
      </c>
      <c r="E1049" s="2">
        <f>C1049*D1049 / 100</f>
        <v>0</v>
      </c>
      <c r="F1049">
        <f>IF(F1048 &lt; 7, F1048 +1,1)</f>
        <v>5</v>
      </c>
      <c r="G1049" t="str">
        <f t="shared" si="16"/>
        <v/>
      </c>
    </row>
    <row r="1050" spans="1:7">
      <c r="A1050" s="1">
        <v>49689</v>
      </c>
      <c r="B1050" t="s">
        <v>30</v>
      </c>
      <c r="C1050">
        <v>24.8</v>
      </c>
      <c r="D1050">
        <v>0</v>
      </c>
      <c r="E1050" s="2">
        <f>C1050*D1050 / 100</f>
        <v>0</v>
      </c>
      <c r="F1050">
        <f>IF(F1049 &lt; 7, F1049 +1,1)</f>
        <v>6</v>
      </c>
      <c r="G1050" t="str">
        <f t="shared" si="16"/>
        <v/>
      </c>
    </row>
    <row r="1051" spans="1:7">
      <c r="A1051" s="1">
        <v>49690</v>
      </c>
      <c r="B1051" t="s">
        <v>26</v>
      </c>
      <c r="C1051">
        <v>12.9</v>
      </c>
      <c r="D1051">
        <v>0</v>
      </c>
      <c r="E1051" s="2">
        <f>C1051*D1051 / 100</f>
        <v>0</v>
      </c>
      <c r="F1051">
        <f>IF(F1050 &lt; 7, F1050 +1,1)</f>
        <v>7</v>
      </c>
      <c r="G1051">
        <f t="shared" si="16"/>
        <v>138.99999999999997</v>
      </c>
    </row>
    <row r="1052" spans="1:7">
      <c r="A1052" s="1">
        <v>49691</v>
      </c>
      <c r="B1052" t="s">
        <v>23</v>
      </c>
      <c r="C1052">
        <v>25.9</v>
      </c>
      <c r="D1052">
        <v>0</v>
      </c>
      <c r="E1052" s="2">
        <f>C1052*D1052 / 100</f>
        <v>0</v>
      </c>
      <c r="F1052">
        <f>IF(F1051 &lt; 7, F1051 +1,1)</f>
        <v>1</v>
      </c>
      <c r="G1052" t="str">
        <f t="shared" si="16"/>
        <v/>
      </c>
    </row>
    <row r="1053" spans="1:7">
      <c r="A1053" s="1">
        <v>49692</v>
      </c>
      <c r="B1053" t="s">
        <v>21</v>
      </c>
      <c r="C1053">
        <v>11.5</v>
      </c>
      <c r="D1053">
        <v>23.2</v>
      </c>
      <c r="E1053" s="2">
        <f>C1053*D1053 / 100</f>
        <v>2.6680000000000001</v>
      </c>
      <c r="F1053">
        <f>IF(F1052 &lt; 7, F1052 +1,1)</f>
        <v>2</v>
      </c>
      <c r="G1053" t="str">
        <f t="shared" si="16"/>
        <v/>
      </c>
    </row>
    <row r="1054" spans="1:7">
      <c r="A1054" s="1">
        <v>49693</v>
      </c>
      <c r="B1054" t="s">
        <v>18</v>
      </c>
      <c r="C1054">
        <v>25.5</v>
      </c>
      <c r="D1054">
        <v>0</v>
      </c>
      <c r="E1054" s="2">
        <f>C1054*D1054 / 100</f>
        <v>0</v>
      </c>
      <c r="F1054">
        <f>IF(F1053 &lt; 7, F1053 +1,1)</f>
        <v>3</v>
      </c>
      <c r="G1054" t="str">
        <f t="shared" si="16"/>
        <v/>
      </c>
    </row>
    <row r="1055" spans="1:7">
      <c r="A1055" s="1">
        <v>49694</v>
      </c>
      <c r="B1055" t="s">
        <v>32</v>
      </c>
      <c r="C1055">
        <v>22.6</v>
      </c>
      <c r="D1055">
        <v>2.2000000000000002</v>
      </c>
      <c r="E1055" s="2">
        <f>C1055*D1055 / 100</f>
        <v>0.49720000000000009</v>
      </c>
      <c r="F1055">
        <f>IF(F1054 &lt; 7, F1054 +1,1)</f>
        <v>4</v>
      </c>
      <c r="G1055" t="str">
        <f t="shared" si="16"/>
        <v/>
      </c>
    </row>
    <row r="1056" spans="1:7">
      <c r="A1056" s="1">
        <v>49695</v>
      </c>
      <c r="B1056" t="s">
        <v>21</v>
      </c>
      <c r="C1056">
        <v>14.2</v>
      </c>
      <c r="D1056">
        <v>0</v>
      </c>
      <c r="E1056" s="2">
        <f>C1056*D1056 / 100</f>
        <v>0</v>
      </c>
      <c r="F1056">
        <f>IF(F1055 &lt; 7, F1055 +1,1)</f>
        <v>5</v>
      </c>
      <c r="G1056" t="str">
        <f t="shared" si="16"/>
        <v/>
      </c>
    </row>
    <row r="1057" spans="1:7">
      <c r="A1057" s="1">
        <v>49696</v>
      </c>
      <c r="B1057" t="s">
        <v>19</v>
      </c>
      <c r="C1057">
        <v>26.9</v>
      </c>
      <c r="D1057">
        <v>9.1999999999999993</v>
      </c>
      <c r="E1057" s="2">
        <f>C1057*D1057 / 100</f>
        <v>2.4747999999999997</v>
      </c>
      <c r="F1057">
        <f>IF(F1056 &lt; 7, F1056 +1,1)</f>
        <v>6</v>
      </c>
      <c r="G1057" t="str">
        <f t="shared" si="16"/>
        <v/>
      </c>
    </row>
    <row r="1058" spans="1:7">
      <c r="A1058" s="1">
        <v>49697</v>
      </c>
      <c r="B1058" t="s">
        <v>36</v>
      </c>
      <c r="C1058">
        <v>30</v>
      </c>
      <c r="D1058">
        <v>32.299999999999997</v>
      </c>
      <c r="E1058" s="2">
        <f>C1058*D1058 / 100</f>
        <v>9.69</v>
      </c>
      <c r="F1058">
        <f>IF(F1057 &lt; 7, F1057 +1,1)</f>
        <v>7</v>
      </c>
      <c r="G1058">
        <f t="shared" si="16"/>
        <v>156.6</v>
      </c>
    </row>
    <row r="1059" spans="1:7">
      <c r="A1059" s="1">
        <v>49698</v>
      </c>
      <c r="B1059" t="s">
        <v>14</v>
      </c>
      <c r="C1059">
        <v>16.2</v>
      </c>
      <c r="D1059">
        <v>5.2</v>
      </c>
      <c r="E1059" s="2">
        <f>C1059*D1059 / 100</f>
        <v>0.84239999999999993</v>
      </c>
      <c r="F1059">
        <f>IF(F1058 &lt; 7, F1058 +1,1)</f>
        <v>1</v>
      </c>
      <c r="G1059" t="str">
        <f t="shared" si="16"/>
        <v/>
      </c>
    </row>
    <row r="1060" spans="1:7">
      <c r="A1060" s="1">
        <v>49699</v>
      </c>
      <c r="B1060" t="s">
        <v>9</v>
      </c>
      <c r="C1060">
        <v>12.2</v>
      </c>
      <c r="D1060">
        <v>0</v>
      </c>
      <c r="E1060" s="2">
        <f>C1060*D1060 / 100</f>
        <v>0</v>
      </c>
      <c r="F1060">
        <f>IF(F1059 &lt; 7, F1059 +1,1)</f>
        <v>2</v>
      </c>
      <c r="G1060" t="str">
        <f t="shared" si="16"/>
        <v/>
      </c>
    </row>
    <row r="1061" spans="1:7">
      <c r="A1061" s="1">
        <v>49700</v>
      </c>
      <c r="B1061" t="s">
        <v>33</v>
      </c>
      <c r="C1061">
        <v>28.7</v>
      </c>
      <c r="D1061">
        <v>0.5</v>
      </c>
      <c r="E1061" s="2">
        <f>C1061*D1061 / 100</f>
        <v>0.14349999999999999</v>
      </c>
      <c r="F1061">
        <f>IF(F1060 &lt; 7, F1060 +1,1)</f>
        <v>3</v>
      </c>
      <c r="G1061" t="str">
        <f t="shared" si="16"/>
        <v/>
      </c>
    </row>
    <row r="1062" spans="1:7">
      <c r="A1062" s="1">
        <v>49701</v>
      </c>
      <c r="B1062" t="s">
        <v>30</v>
      </c>
      <c r="C1062">
        <v>23.3</v>
      </c>
      <c r="D1062">
        <v>11.1</v>
      </c>
      <c r="E1062" s="2">
        <f>C1062*D1062 / 100</f>
        <v>2.5863</v>
      </c>
      <c r="F1062">
        <f>IF(F1061 &lt; 7, F1061 +1,1)</f>
        <v>4</v>
      </c>
      <c r="G1062" t="str">
        <f t="shared" si="16"/>
        <v/>
      </c>
    </row>
    <row r="1063" spans="1:7">
      <c r="A1063" s="1">
        <v>49702</v>
      </c>
      <c r="B1063" t="s">
        <v>33</v>
      </c>
      <c r="C1063">
        <v>30</v>
      </c>
      <c r="D1063">
        <v>16.100000000000001</v>
      </c>
      <c r="E1063" s="2">
        <f>C1063*D1063 / 100</f>
        <v>4.830000000000001</v>
      </c>
      <c r="F1063">
        <f>IF(F1062 &lt; 7, F1062 +1,1)</f>
        <v>5</v>
      </c>
      <c r="G1063" t="str">
        <f t="shared" si="16"/>
        <v/>
      </c>
    </row>
    <row r="1064" spans="1:7">
      <c r="A1064" s="1">
        <v>49703</v>
      </c>
      <c r="B1064" t="s">
        <v>29</v>
      </c>
      <c r="C1064">
        <v>16</v>
      </c>
      <c r="D1064">
        <v>9.8000000000000007</v>
      </c>
      <c r="E1064" s="2">
        <f>C1064*D1064 / 100</f>
        <v>1.5680000000000001</v>
      </c>
      <c r="F1064">
        <f>IF(F1063 &lt; 7, F1063 +1,1)</f>
        <v>6</v>
      </c>
      <c r="G1064" t="str">
        <f t="shared" si="16"/>
        <v/>
      </c>
    </row>
    <row r="1065" spans="1:7">
      <c r="A1065" s="1">
        <v>49704</v>
      </c>
      <c r="B1065" t="s">
        <v>18</v>
      </c>
      <c r="C1065">
        <v>21.6</v>
      </c>
      <c r="D1065">
        <v>3.4</v>
      </c>
      <c r="E1065" s="2">
        <f>C1065*D1065 / 100</f>
        <v>0.73439999999999994</v>
      </c>
      <c r="F1065">
        <f>IF(F1064 &lt; 7, F1064 +1,1)</f>
        <v>7</v>
      </c>
      <c r="G1065">
        <f t="shared" si="16"/>
        <v>148</v>
      </c>
    </row>
    <row r="1066" spans="1:7">
      <c r="A1066" s="1">
        <v>49705</v>
      </c>
      <c r="B1066" t="s">
        <v>36</v>
      </c>
      <c r="C1066">
        <v>27.9</v>
      </c>
      <c r="D1066">
        <v>4.8</v>
      </c>
      <c r="E1066" s="2">
        <f>C1066*D1066 / 100</f>
        <v>1.3391999999999999</v>
      </c>
      <c r="F1066">
        <f>IF(F1065 &lt; 7, F1065 +1,1)</f>
        <v>1</v>
      </c>
      <c r="G1066" t="str">
        <f t="shared" si="16"/>
        <v/>
      </c>
    </row>
    <row r="1067" spans="1:7">
      <c r="A1067" s="1">
        <v>49706</v>
      </c>
      <c r="B1067" t="s">
        <v>19</v>
      </c>
      <c r="C1067">
        <v>17.5</v>
      </c>
      <c r="D1067">
        <v>14.7</v>
      </c>
      <c r="E1067" s="2">
        <f>C1067*D1067 / 100</f>
        <v>2.5724999999999998</v>
      </c>
      <c r="F1067">
        <f>IF(F1066 &lt; 7, F1066 +1,1)</f>
        <v>2</v>
      </c>
      <c r="G1067" t="str">
        <f t="shared" si="16"/>
        <v/>
      </c>
    </row>
    <row r="1068" spans="1:7">
      <c r="A1068" s="1">
        <v>49707</v>
      </c>
      <c r="B1068" t="s">
        <v>16</v>
      </c>
      <c r="C1068">
        <v>20.7</v>
      </c>
      <c r="D1068">
        <v>0</v>
      </c>
      <c r="E1068" s="2">
        <f>C1068*D1068 / 100</f>
        <v>0</v>
      </c>
      <c r="F1068">
        <f>IF(F1067 &lt; 7, F1067 +1,1)</f>
        <v>3</v>
      </c>
      <c r="G1068" t="str">
        <f t="shared" si="16"/>
        <v/>
      </c>
    </row>
    <row r="1069" spans="1:7">
      <c r="A1069" s="1">
        <v>49708</v>
      </c>
      <c r="B1069" t="s">
        <v>21</v>
      </c>
      <c r="C1069">
        <v>10.8</v>
      </c>
      <c r="D1069">
        <v>36.4</v>
      </c>
      <c r="E1069" s="2">
        <f>C1069*D1069 / 100</f>
        <v>3.9312</v>
      </c>
      <c r="F1069">
        <f>IF(F1068 &lt; 7, F1068 +1,1)</f>
        <v>4</v>
      </c>
      <c r="G1069" t="str">
        <f t="shared" si="16"/>
        <v/>
      </c>
    </row>
    <row r="1070" spans="1:7">
      <c r="A1070" s="1">
        <v>49709</v>
      </c>
      <c r="B1070" t="s">
        <v>36</v>
      </c>
      <c r="C1070">
        <v>27.6</v>
      </c>
      <c r="D1070">
        <v>32.799999999999997</v>
      </c>
      <c r="E1070" s="2">
        <f>C1070*D1070 / 100</f>
        <v>9.0527999999999995</v>
      </c>
      <c r="F1070">
        <f>IF(F1069 &lt; 7, F1069 +1,1)</f>
        <v>5</v>
      </c>
      <c r="G1070" t="str">
        <f t="shared" si="16"/>
        <v/>
      </c>
    </row>
    <row r="1071" spans="1:7">
      <c r="A1071" s="1">
        <v>49710</v>
      </c>
      <c r="B1071" t="s">
        <v>9</v>
      </c>
      <c r="C1071">
        <v>10.8</v>
      </c>
      <c r="D1071">
        <v>11.6</v>
      </c>
      <c r="E1071" s="2">
        <f>C1071*D1071 / 100</f>
        <v>1.2527999999999999</v>
      </c>
      <c r="F1071">
        <f>IF(F1070 &lt; 7, F1070 +1,1)</f>
        <v>6</v>
      </c>
      <c r="G1071" t="str">
        <f t="shared" si="16"/>
        <v/>
      </c>
    </row>
    <row r="1072" spans="1:7">
      <c r="A1072" s="1">
        <v>49711</v>
      </c>
      <c r="B1072" t="s">
        <v>23</v>
      </c>
      <c r="C1072">
        <v>13.7</v>
      </c>
      <c r="D1072">
        <v>0</v>
      </c>
      <c r="E1072" s="2">
        <f>C1072*D1072 / 100</f>
        <v>0</v>
      </c>
      <c r="F1072">
        <f>IF(F1071 &lt; 7, F1071 +1,1)</f>
        <v>7</v>
      </c>
      <c r="G1072">
        <f t="shared" si="16"/>
        <v>129</v>
      </c>
    </row>
    <row r="1073" spans="1:7">
      <c r="A1073" s="1">
        <v>49712</v>
      </c>
      <c r="B1073" t="s">
        <v>29</v>
      </c>
      <c r="C1073">
        <v>19.5</v>
      </c>
      <c r="D1073">
        <v>0</v>
      </c>
      <c r="E1073" s="2">
        <f>C1073*D1073 / 100</f>
        <v>0</v>
      </c>
      <c r="F1073">
        <f>IF(F1072 &lt; 7, F1072 +1,1)</f>
        <v>1</v>
      </c>
      <c r="G1073" t="str">
        <f t="shared" si="16"/>
        <v/>
      </c>
    </row>
    <row r="1074" spans="1:7">
      <c r="A1074" s="1">
        <v>49713</v>
      </c>
      <c r="B1074" t="s">
        <v>26</v>
      </c>
      <c r="C1074">
        <v>21.6</v>
      </c>
      <c r="D1074">
        <v>11.6</v>
      </c>
      <c r="E1074" s="2">
        <f>C1074*D1074 / 100</f>
        <v>2.5055999999999998</v>
      </c>
      <c r="F1074">
        <f>IF(F1073 &lt; 7, F1073 +1,1)</f>
        <v>2</v>
      </c>
      <c r="G1074" t="str">
        <f t="shared" si="16"/>
        <v/>
      </c>
    </row>
    <row r="1075" spans="1:7">
      <c r="A1075" s="1">
        <v>49714</v>
      </c>
      <c r="B1075" t="s">
        <v>23</v>
      </c>
      <c r="C1075">
        <v>21.6</v>
      </c>
      <c r="D1075">
        <v>2.7</v>
      </c>
      <c r="E1075" s="2">
        <f>C1075*D1075 / 100</f>
        <v>0.58320000000000005</v>
      </c>
      <c r="F1075">
        <f>IF(F1074 &lt; 7, F1074 +1,1)</f>
        <v>3</v>
      </c>
      <c r="G1075" t="str">
        <f t="shared" si="16"/>
        <v/>
      </c>
    </row>
    <row r="1076" spans="1:7">
      <c r="A1076" s="1">
        <v>49715</v>
      </c>
      <c r="B1076" t="s">
        <v>13</v>
      </c>
      <c r="C1076">
        <v>16.100000000000001</v>
      </c>
      <c r="D1076">
        <v>0</v>
      </c>
      <c r="E1076" s="2">
        <f>C1076*D1076 / 100</f>
        <v>0</v>
      </c>
      <c r="F1076">
        <f>IF(F1075 &lt; 7, F1075 +1,1)</f>
        <v>4</v>
      </c>
      <c r="G1076" t="str">
        <f t="shared" si="16"/>
        <v/>
      </c>
    </row>
    <row r="1077" spans="1:7">
      <c r="A1077" s="1">
        <v>49716</v>
      </c>
      <c r="B1077" t="s">
        <v>30</v>
      </c>
      <c r="C1077">
        <v>29.4</v>
      </c>
      <c r="D1077">
        <v>12.5</v>
      </c>
      <c r="E1077" s="2">
        <f>C1077*D1077 / 100</f>
        <v>3.6749999999999998</v>
      </c>
      <c r="F1077">
        <f>IF(F1076 &lt; 7, F1076 +1,1)</f>
        <v>5</v>
      </c>
      <c r="G1077" t="str">
        <f t="shared" si="16"/>
        <v/>
      </c>
    </row>
    <row r="1078" spans="1:7">
      <c r="A1078" s="1">
        <v>49717</v>
      </c>
      <c r="B1078" t="s">
        <v>12</v>
      </c>
      <c r="C1078">
        <v>17.8</v>
      </c>
      <c r="D1078">
        <v>5.9</v>
      </c>
      <c r="E1078" s="2">
        <f>C1078*D1078 / 100</f>
        <v>1.0502</v>
      </c>
      <c r="F1078">
        <f>IF(F1077 &lt; 7, F1077 +1,1)</f>
        <v>6</v>
      </c>
      <c r="G1078" t="str">
        <f t="shared" si="16"/>
        <v/>
      </c>
    </row>
    <row r="1079" spans="1:7">
      <c r="A1079" s="1">
        <v>49718</v>
      </c>
      <c r="B1079" t="s">
        <v>36</v>
      </c>
      <c r="C1079">
        <v>26.1</v>
      </c>
      <c r="D1079">
        <v>14.8</v>
      </c>
      <c r="E1079" s="2">
        <f>C1079*D1079 / 100</f>
        <v>3.8628000000000005</v>
      </c>
      <c r="F1079">
        <f>IF(F1078 &lt; 7, F1078 +1,1)</f>
        <v>7</v>
      </c>
      <c r="G1079">
        <f t="shared" si="16"/>
        <v>152.10000000000002</v>
      </c>
    </row>
    <row r="1080" spans="1:7">
      <c r="A1080" s="1">
        <v>49719</v>
      </c>
      <c r="B1080" t="s">
        <v>21</v>
      </c>
      <c r="C1080">
        <v>13.8</v>
      </c>
      <c r="D1080">
        <v>0</v>
      </c>
      <c r="E1080" s="2">
        <f>C1080*D1080 / 100</f>
        <v>0</v>
      </c>
      <c r="F1080">
        <f>IF(F1079 &lt; 7, F1079 +1,1)</f>
        <v>1</v>
      </c>
      <c r="G1080" t="str">
        <f t="shared" si="16"/>
        <v/>
      </c>
    </row>
    <row r="1081" spans="1:7">
      <c r="A1081" s="1">
        <v>49720</v>
      </c>
      <c r="B1081" t="s">
        <v>34</v>
      </c>
      <c r="C1081">
        <v>16.100000000000001</v>
      </c>
      <c r="D1081">
        <v>6.2</v>
      </c>
      <c r="E1081" s="2">
        <f>C1081*D1081 / 100</f>
        <v>0.99820000000000009</v>
      </c>
      <c r="F1081">
        <f>IF(F1080 &lt; 7, F1080 +1,1)</f>
        <v>2</v>
      </c>
      <c r="G1081" t="str">
        <f t="shared" si="16"/>
        <v/>
      </c>
    </row>
    <row r="1082" spans="1:7">
      <c r="A1082" s="1">
        <v>49721</v>
      </c>
      <c r="B1082" t="s">
        <v>21</v>
      </c>
      <c r="C1082">
        <v>23.2</v>
      </c>
      <c r="D1082">
        <v>45.8</v>
      </c>
      <c r="E1082" s="2">
        <f>C1082*D1082 / 100</f>
        <v>10.625599999999999</v>
      </c>
      <c r="F1082">
        <f>IF(F1081 &lt; 7, F1081 +1,1)</f>
        <v>3</v>
      </c>
      <c r="G1082" t="str">
        <f t="shared" si="16"/>
        <v/>
      </c>
    </row>
    <row r="1083" spans="1:7">
      <c r="A1083" s="1">
        <v>49722</v>
      </c>
      <c r="B1083" t="s">
        <v>34</v>
      </c>
      <c r="C1083">
        <v>18.899999999999999</v>
      </c>
      <c r="D1083">
        <v>0</v>
      </c>
      <c r="E1083" s="2">
        <f>C1083*D1083 / 100</f>
        <v>0</v>
      </c>
      <c r="F1083">
        <f>IF(F1082 &lt; 7, F1082 +1,1)</f>
        <v>4</v>
      </c>
      <c r="G1083" t="str">
        <f t="shared" si="16"/>
        <v/>
      </c>
    </row>
    <row r="1084" spans="1:7">
      <c r="A1084" s="1">
        <v>49723</v>
      </c>
      <c r="B1084" t="s">
        <v>36</v>
      </c>
      <c r="C1084">
        <v>28.9</v>
      </c>
      <c r="D1084">
        <v>34.1</v>
      </c>
      <c r="E1084" s="2">
        <f>C1084*D1084 / 100</f>
        <v>9.8549000000000007</v>
      </c>
      <c r="F1084">
        <f>IF(F1083 &lt; 7, F1083 +1,1)</f>
        <v>5</v>
      </c>
      <c r="G1084" t="str">
        <f t="shared" si="16"/>
        <v/>
      </c>
    </row>
    <row r="1085" spans="1:7">
      <c r="A1085" s="1">
        <v>49724</v>
      </c>
      <c r="B1085" t="s">
        <v>21</v>
      </c>
      <c r="C1085">
        <v>19.3</v>
      </c>
      <c r="D1085">
        <v>49.6</v>
      </c>
      <c r="E1085" s="2">
        <f>C1085*D1085 / 100</f>
        <v>9.5728000000000009</v>
      </c>
      <c r="F1085">
        <f>IF(F1084 &lt; 7, F1084 +1,1)</f>
        <v>6</v>
      </c>
      <c r="G1085" t="str">
        <f t="shared" si="16"/>
        <v/>
      </c>
    </row>
    <row r="1086" spans="1:7">
      <c r="A1086" s="1">
        <v>49725</v>
      </c>
      <c r="B1086" t="s">
        <v>29</v>
      </c>
      <c r="C1086">
        <v>23.9</v>
      </c>
      <c r="D1086">
        <v>11.7</v>
      </c>
      <c r="E1086" s="2">
        <f>C1086*D1086 / 100</f>
        <v>2.7962999999999996</v>
      </c>
      <c r="F1086">
        <f>IF(F1085 &lt; 7, F1085 +1,1)</f>
        <v>7</v>
      </c>
      <c r="G1086">
        <f t="shared" si="16"/>
        <v>144.1</v>
      </c>
    </row>
    <row r="1087" spans="1:7">
      <c r="A1087" s="1">
        <v>49726</v>
      </c>
      <c r="B1087" t="s">
        <v>19</v>
      </c>
      <c r="C1087">
        <v>28.6</v>
      </c>
      <c r="D1087">
        <v>11.5</v>
      </c>
      <c r="E1087" s="2">
        <f>C1087*D1087 / 100</f>
        <v>3.2890000000000001</v>
      </c>
      <c r="F1087">
        <f>IF(F1086 &lt; 7, F1086 +1,1)</f>
        <v>1</v>
      </c>
      <c r="G1087" t="str">
        <f t="shared" si="16"/>
        <v/>
      </c>
    </row>
    <row r="1088" spans="1:7">
      <c r="A1088" s="1">
        <v>49727</v>
      </c>
      <c r="B1088" t="s">
        <v>12</v>
      </c>
      <c r="C1088">
        <v>14.5</v>
      </c>
      <c r="D1088">
        <v>0.3</v>
      </c>
      <c r="E1088" s="2">
        <f>C1088*D1088 / 100</f>
        <v>4.3499999999999997E-2</v>
      </c>
      <c r="F1088">
        <f>IF(F1087 &lt; 7, F1087 +1,1)</f>
        <v>2</v>
      </c>
      <c r="G1088" t="str">
        <f t="shared" si="16"/>
        <v/>
      </c>
    </row>
    <row r="1089" spans="1:7">
      <c r="A1089" s="1">
        <v>49728</v>
      </c>
      <c r="B1089" t="s">
        <v>21</v>
      </c>
      <c r="C1089">
        <v>13</v>
      </c>
      <c r="D1089">
        <v>0</v>
      </c>
      <c r="E1089" s="2">
        <f>C1089*D1089 / 100</f>
        <v>0</v>
      </c>
      <c r="F1089">
        <f>IF(F1088 &lt; 7, F1088 +1,1)</f>
        <v>3</v>
      </c>
      <c r="G1089" t="str">
        <f t="shared" si="16"/>
        <v/>
      </c>
    </row>
    <row r="1090" spans="1:7">
      <c r="A1090" s="1">
        <v>49729</v>
      </c>
      <c r="B1090" t="s">
        <v>36</v>
      </c>
      <c r="C1090">
        <v>16.2</v>
      </c>
      <c r="D1090">
        <v>9.1999999999999993</v>
      </c>
      <c r="E1090" s="2">
        <f>C1090*D1090 / 100</f>
        <v>1.4903999999999999</v>
      </c>
      <c r="F1090">
        <f>IF(F1089 &lt; 7, F1089 +1,1)</f>
        <v>4</v>
      </c>
      <c r="G1090" t="str">
        <f t="shared" si="16"/>
        <v/>
      </c>
    </row>
    <row r="1091" spans="1:7">
      <c r="A1091" s="1">
        <v>49730</v>
      </c>
      <c r="B1091" t="s">
        <v>33</v>
      </c>
      <c r="C1091">
        <v>27.1</v>
      </c>
      <c r="D1091">
        <v>6.3</v>
      </c>
      <c r="E1091" s="2">
        <f>C1091*D1091 / 100</f>
        <v>1.7073000000000003</v>
      </c>
      <c r="F1091">
        <f>IF(F1090 &lt; 7, F1090 +1,1)</f>
        <v>5</v>
      </c>
      <c r="G1091" t="str">
        <f t="shared" si="16"/>
        <v/>
      </c>
    </row>
    <row r="1092" spans="1:7">
      <c r="A1092" s="1">
        <v>49731</v>
      </c>
      <c r="B1092" t="s">
        <v>21</v>
      </c>
      <c r="C1092">
        <v>15.6</v>
      </c>
      <c r="D1092">
        <v>28</v>
      </c>
      <c r="E1092" s="2">
        <f>C1092*D1092 / 100</f>
        <v>4.3680000000000003</v>
      </c>
      <c r="F1092">
        <f>IF(F1091 &lt; 7, F1091 +1,1)</f>
        <v>6</v>
      </c>
      <c r="G1092" t="str">
        <f t="shared" si="16"/>
        <v/>
      </c>
    </row>
    <row r="1093" spans="1:7">
      <c r="A1093" s="1">
        <v>49732</v>
      </c>
      <c r="B1093" t="s">
        <v>12</v>
      </c>
      <c r="C1093">
        <v>28.9</v>
      </c>
      <c r="D1093">
        <v>6.8</v>
      </c>
      <c r="E1093" s="2">
        <f>C1093*D1093 / 100</f>
        <v>1.9651999999999998</v>
      </c>
      <c r="F1093">
        <f>IF(F1092 &lt; 7, F1092 +1,1)</f>
        <v>7</v>
      </c>
      <c r="G1093">
        <f t="shared" si="16"/>
        <v>143.9</v>
      </c>
    </row>
    <row r="1094" spans="1:7">
      <c r="A1094" s="1">
        <v>49733</v>
      </c>
      <c r="B1094" t="s">
        <v>30</v>
      </c>
      <c r="C1094">
        <v>13.8</v>
      </c>
      <c r="D1094">
        <v>11.9</v>
      </c>
      <c r="E1094" s="2">
        <f>C1094*D1094 / 100</f>
        <v>1.6422000000000003</v>
      </c>
      <c r="F1094">
        <f>IF(F1093 &lt; 7, F1093 +1,1)</f>
        <v>1</v>
      </c>
      <c r="G1094" t="str">
        <f t="shared" si="16"/>
        <v/>
      </c>
    </row>
    <row r="1095" spans="1:7">
      <c r="A1095" s="1">
        <v>49734</v>
      </c>
      <c r="B1095" t="s">
        <v>30</v>
      </c>
      <c r="C1095">
        <v>17.8</v>
      </c>
      <c r="D1095">
        <v>1.5</v>
      </c>
      <c r="E1095" s="2">
        <f>C1095*D1095 / 100</f>
        <v>0.26700000000000002</v>
      </c>
      <c r="F1095">
        <f>IF(F1094 &lt; 7, F1094 +1,1)</f>
        <v>2</v>
      </c>
      <c r="G1095" t="str">
        <f t="shared" si="16"/>
        <v/>
      </c>
    </row>
    <row r="1096" spans="1:7">
      <c r="A1096" s="1">
        <v>49735</v>
      </c>
      <c r="B1096" t="s">
        <v>24</v>
      </c>
      <c r="C1096">
        <v>25.1</v>
      </c>
      <c r="D1096">
        <v>0</v>
      </c>
      <c r="E1096" s="2">
        <f>C1096*D1096 / 100</f>
        <v>0</v>
      </c>
      <c r="F1096">
        <f>IF(F1095 &lt; 7, F1095 +1,1)</f>
        <v>3</v>
      </c>
      <c r="G1096" t="str">
        <f t="shared" si="16"/>
        <v/>
      </c>
    </row>
    <row r="1097" spans="1:7">
      <c r="A1097" s="1">
        <v>49736</v>
      </c>
      <c r="B1097" t="s">
        <v>24</v>
      </c>
      <c r="C1097">
        <v>29.5</v>
      </c>
      <c r="D1097">
        <v>0</v>
      </c>
      <c r="E1097" s="2">
        <f>C1097*D1097 / 100</f>
        <v>0</v>
      </c>
      <c r="F1097">
        <f>IF(F1096 &lt; 7, F1096 +1,1)</f>
        <v>4</v>
      </c>
      <c r="G1097" t="str">
        <f t="shared" ref="G1097:G1160" si="17">IF(F1097=7, SUM(C1091:C1097), "")</f>
        <v/>
      </c>
    </row>
    <row r="1098" spans="1:7">
      <c r="A1098" s="1">
        <v>49737</v>
      </c>
      <c r="B1098" t="s">
        <v>12</v>
      </c>
      <c r="C1098">
        <v>16.100000000000001</v>
      </c>
      <c r="D1098">
        <v>7.1</v>
      </c>
      <c r="E1098" s="2">
        <f>C1098*D1098 / 100</f>
        <v>1.1431</v>
      </c>
      <c r="F1098">
        <f>IF(F1097 &lt; 7, F1097 +1,1)</f>
        <v>5</v>
      </c>
      <c r="G1098" t="str">
        <f t="shared" si="17"/>
        <v/>
      </c>
    </row>
    <row r="1099" spans="1:7">
      <c r="A1099" s="1">
        <v>49738</v>
      </c>
      <c r="B1099" t="s">
        <v>26</v>
      </c>
      <c r="C1099">
        <v>18</v>
      </c>
      <c r="D1099">
        <v>12</v>
      </c>
      <c r="E1099" s="2">
        <f>C1099*D1099 / 100</f>
        <v>2.16</v>
      </c>
      <c r="F1099">
        <f>IF(F1098 &lt; 7, F1098 +1,1)</f>
        <v>6</v>
      </c>
      <c r="G1099" t="str">
        <f t="shared" si="17"/>
        <v/>
      </c>
    </row>
    <row r="1100" spans="1:7">
      <c r="A1100" s="1">
        <v>49739</v>
      </c>
      <c r="B1100" t="s">
        <v>21</v>
      </c>
      <c r="C1100">
        <v>12.2</v>
      </c>
      <c r="D1100">
        <v>26.8</v>
      </c>
      <c r="E1100" s="2">
        <f>C1100*D1100 / 100</f>
        <v>3.2695999999999996</v>
      </c>
      <c r="F1100">
        <f>IF(F1099 &lt; 7, F1099 +1,1)</f>
        <v>7</v>
      </c>
      <c r="G1100">
        <f t="shared" si="17"/>
        <v>132.5</v>
      </c>
    </row>
    <row r="1101" spans="1:7">
      <c r="A1101" s="1">
        <v>49740</v>
      </c>
      <c r="B1101" t="s">
        <v>11</v>
      </c>
      <c r="C1101">
        <v>20.7</v>
      </c>
      <c r="D1101">
        <v>4.7</v>
      </c>
      <c r="E1101" s="2">
        <f>C1101*D1101 / 100</f>
        <v>0.9729000000000001</v>
      </c>
      <c r="F1101">
        <f>IF(F1100 &lt; 7, F1100 +1,1)</f>
        <v>1</v>
      </c>
      <c r="G1101" t="str">
        <f t="shared" si="17"/>
        <v/>
      </c>
    </row>
    <row r="1102" spans="1:7">
      <c r="A1102" s="1">
        <v>49741</v>
      </c>
      <c r="B1102" t="s">
        <v>21</v>
      </c>
      <c r="C1102">
        <v>20.100000000000001</v>
      </c>
      <c r="D1102">
        <v>47.4</v>
      </c>
      <c r="E1102" s="2">
        <f>C1102*D1102 / 100</f>
        <v>9.5274000000000001</v>
      </c>
      <c r="F1102">
        <f>IF(F1101 &lt; 7, F1101 +1,1)</f>
        <v>2</v>
      </c>
      <c r="G1102" t="str">
        <f t="shared" si="17"/>
        <v/>
      </c>
    </row>
    <row r="1103" spans="1:7">
      <c r="A1103" s="1">
        <v>49742</v>
      </c>
      <c r="B1103" t="s">
        <v>21</v>
      </c>
      <c r="C1103">
        <v>14.9</v>
      </c>
      <c r="D1103">
        <v>43.8</v>
      </c>
      <c r="E1103" s="2">
        <f>C1103*D1103 / 100</f>
        <v>6.5262000000000002</v>
      </c>
      <c r="F1103">
        <f>IF(F1102 &lt; 7, F1102 +1,1)</f>
        <v>3</v>
      </c>
      <c r="G1103" t="str">
        <f t="shared" si="17"/>
        <v/>
      </c>
    </row>
    <row r="1104" spans="1:7">
      <c r="A1104" s="1">
        <v>49743</v>
      </c>
      <c r="B1104" t="s">
        <v>21</v>
      </c>
      <c r="C1104">
        <v>19</v>
      </c>
      <c r="D1104">
        <v>0</v>
      </c>
      <c r="E1104" s="2">
        <f>C1104*D1104 / 100</f>
        <v>0</v>
      </c>
      <c r="F1104">
        <f>IF(F1103 &lt; 7, F1103 +1,1)</f>
        <v>4</v>
      </c>
      <c r="G1104" t="str">
        <f t="shared" si="17"/>
        <v/>
      </c>
    </row>
    <row r="1105" spans="1:7">
      <c r="A1105" s="1">
        <v>49744</v>
      </c>
      <c r="B1105" t="s">
        <v>30</v>
      </c>
      <c r="C1105">
        <v>12.5</v>
      </c>
      <c r="D1105">
        <v>0</v>
      </c>
      <c r="E1105" s="2">
        <f>C1105*D1105 / 100</f>
        <v>0</v>
      </c>
      <c r="F1105">
        <f>IF(F1104 &lt; 7, F1104 +1,1)</f>
        <v>5</v>
      </c>
      <c r="G1105" t="str">
        <f t="shared" si="17"/>
        <v/>
      </c>
    </row>
    <row r="1106" spans="1:7">
      <c r="A1106" s="1">
        <v>49745</v>
      </c>
      <c r="B1106" t="s">
        <v>19</v>
      </c>
      <c r="C1106">
        <v>15.2</v>
      </c>
      <c r="D1106">
        <v>13.9</v>
      </c>
      <c r="E1106" s="2">
        <f>C1106*D1106 / 100</f>
        <v>2.1128</v>
      </c>
      <c r="F1106">
        <f>IF(F1105 &lt; 7, F1105 +1,1)</f>
        <v>6</v>
      </c>
      <c r="G1106" t="str">
        <f t="shared" si="17"/>
        <v/>
      </c>
    </row>
    <row r="1107" spans="1:7">
      <c r="A1107" s="1">
        <v>49746</v>
      </c>
      <c r="B1107" t="s">
        <v>36</v>
      </c>
      <c r="C1107">
        <v>29.2</v>
      </c>
      <c r="D1107">
        <v>26.8</v>
      </c>
      <c r="E1107" s="2">
        <f>C1107*D1107 / 100</f>
        <v>7.8255999999999997</v>
      </c>
      <c r="F1107">
        <f>IF(F1106 &lt; 7, F1106 +1,1)</f>
        <v>7</v>
      </c>
      <c r="G1107">
        <f t="shared" si="17"/>
        <v>131.6</v>
      </c>
    </row>
    <row r="1108" spans="1:7">
      <c r="A1108" s="1">
        <v>49747</v>
      </c>
      <c r="B1108" t="s">
        <v>30</v>
      </c>
      <c r="C1108">
        <v>13.9</v>
      </c>
      <c r="D1108">
        <v>1.1000000000000001</v>
      </c>
      <c r="E1108" s="2">
        <f>C1108*D1108 / 100</f>
        <v>0.15290000000000001</v>
      </c>
      <c r="F1108">
        <f>IF(F1107 &lt; 7, F1107 +1,1)</f>
        <v>1</v>
      </c>
      <c r="G1108" t="str">
        <f t="shared" si="17"/>
        <v/>
      </c>
    </row>
    <row r="1109" spans="1:7">
      <c r="A1109" s="1">
        <v>49748</v>
      </c>
      <c r="B1109" t="s">
        <v>33</v>
      </c>
      <c r="C1109">
        <v>11.4</v>
      </c>
      <c r="D1109">
        <v>0</v>
      </c>
      <c r="E1109" s="2">
        <f>C1109*D1109 / 100</f>
        <v>0</v>
      </c>
      <c r="F1109">
        <f>IF(F1108 &lt; 7, F1108 +1,1)</f>
        <v>2</v>
      </c>
      <c r="G1109" t="str">
        <f t="shared" si="17"/>
        <v/>
      </c>
    </row>
    <row r="1110" spans="1:7">
      <c r="A1110" s="1">
        <v>49749</v>
      </c>
      <c r="B1110" t="s">
        <v>26</v>
      </c>
      <c r="C1110">
        <v>15.8</v>
      </c>
      <c r="D1110">
        <v>7</v>
      </c>
      <c r="E1110" s="2">
        <f>C1110*D1110 / 100</f>
        <v>1.1060000000000001</v>
      </c>
      <c r="F1110">
        <f>IF(F1109 &lt; 7, F1109 +1,1)</f>
        <v>3</v>
      </c>
      <c r="G1110" t="str">
        <f t="shared" si="17"/>
        <v/>
      </c>
    </row>
    <row r="1111" spans="1:7">
      <c r="A1111" s="1">
        <v>49750</v>
      </c>
      <c r="B1111" t="s">
        <v>21</v>
      </c>
      <c r="C1111">
        <v>10.199999999999999</v>
      </c>
      <c r="D1111">
        <v>43.3</v>
      </c>
      <c r="E1111" s="2">
        <f>C1111*D1111 / 100</f>
        <v>4.4165999999999999</v>
      </c>
      <c r="F1111">
        <f>IF(F1110 &lt; 7, F1110 +1,1)</f>
        <v>4</v>
      </c>
      <c r="G1111" t="str">
        <f t="shared" si="17"/>
        <v/>
      </c>
    </row>
    <row r="1112" spans="1:7">
      <c r="A1112" s="1">
        <v>49751</v>
      </c>
      <c r="B1112" t="s">
        <v>19</v>
      </c>
      <c r="C1112">
        <v>19.600000000000001</v>
      </c>
      <c r="D1112">
        <v>8.9</v>
      </c>
      <c r="E1112" s="2">
        <f>C1112*D1112 / 100</f>
        <v>1.7444000000000002</v>
      </c>
      <c r="F1112">
        <f>IF(F1111 &lt; 7, F1111 +1,1)</f>
        <v>5</v>
      </c>
      <c r="G1112" t="str">
        <f t="shared" si="17"/>
        <v/>
      </c>
    </row>
    <row r="1113" spans="1:7">
      <c r="A1113" s="1">
        <v>49752</v>
      </c>
      <c r="B1113" t="s">
        <v>30</v>
      </c>
      <c r="C1113">
        <v>15.5</v>
      </c>
      <c r="D1113">
        <v>10.1</v>
      </c>
      <c r="E1113" s="2">
        <f>C1113*D1113 / 100</f>
        <v>1.5654999999999999</v>
      </c>
      <c r="F1113">
        <f>IF(F1112 &lt; 7, F1112 +1,1)</f>
        <v>6</v>
      </c>
      <c r="G1113" t="str">
        <f t="shared" si="17"/>
        <v/>
      </c>
    </row>
    <row r="1114" spans="1:7">
      <c r="A1114" s="1">
        <v>49753</v>
      </c>
      <c r="B1114" t="s">
        <v>33</v>
      </c>
      <c r="C1114">
        <v>19.899999999999999</v>
      </c>
      <c r="D1114">
        <v>16.2</v>
      </c>
      <c r="E1114" s="2">
        <f>C1114*D1114 / 100</f>
        <v>3.2237999999999993</v>
      </c>
      <c r="F1114">
        <f>IF(F1113 &lt; 7, F1113 +1,1)</f>
        <v>7</v>
      </c>
      <c r="G1114">
        <f t="shared" si="17"/>
        <v>106.30000000000001</v>
      </c>
    </row>
    <row r="1115" spans="1:7">
      <c r="A1115" s="1">
        <v>49754</v>
      </c>
      <c r="B1115" t="s">
        <v>29</v>
      </c>
      <c r="C1115">
        <v>10.7</v>
      </c>
      <c r="D1115">
        <v>2.8</v>
      </c>
      <c r="E1115" s="2">
        <f>C1115*D1115 / 100</f>
        <v>0.29959999999999998</v>
      </c>
      <c r="F1115">
        <f>IF(F1114 &lt; 7, F1114 +1,1)</f>
        <v>1</v>
      </c>
      <c r="G1115" t="str">
        <f t="shared" si="17"/>
        <v/>
      </c>
    </row>
    <row r="1116" spans="1:7">
      <c r="A1116" s="1">
        <v>49755</v>
      </c>
      <c r="B1116" t="s">
        <v>12</v>
      </c>
      <c r="C1116">
        <v>11.5</v>
      </c>
      <c r="D1116">
        <v>5.9</v>
      </c>
      <c r="E1116" s="2">
        <f>C1116*D1116 / 100</f>
        <v>0.6785000000000001</v>
      </c>
      <c r="F1116">
        <f>IF(F1115 &lt; 7, F1115 +1,1)</f>
        <v>2</v>
      </c>
      <c r="G1116" t="str">
        <f t="shared" si="17"/>
        <v/>
      </c>
    </row>
    <row r="1117" spans="1:7">
      <c r="A1117" s="1">
        <v>49756</v>
      </c>
      <c r="B1117" t="s">
        <v>11</v>
      </c>
      <c r="C1117">
        <v>28.4</v>
      </c>
      <c r="D1117">
        <v>1</v>
      </c>
      <c r="E1117" s="2">
        <f>C1117*D1117 / 100</f>
        <v>0.28399999999999997</v>
      </c>
      <c r="F1117">
        <f>IF(F1116 &lt; 7, F1116 +1,1)</f>
        <v>3</v>
      </c>
      <c r="G1117" t="str">
        <f t="shared" si="17"/>
        <v/>
      </c>
    </row>
    <row r="1118" spans="1:7">
      <c r="A1118" s="1">
        <v>49757</v>
      </c>
      <c r="B1118" t="s">
        <v>36</v>
      </c>
      <c r="C1118">
        <v>22.3</v>
      </c>
      <c r="D1118">
        <v>5.0999999999999996</v>
      </c>
      <c r="E1118" s="2">
        <f>C1118*D1118 / 100</f>
        <v>1.1373</v>
      </c>
      <c r="F1118">
        <f>IF(F1117 &lt; 7, F1117 +1,1)</f>
        <v>4</v>
      </c>
      <c r="G1118" t="str">
        <f t="shared" si="17"/>
        <v/>
      </c>
    </row>
    <row r="1119" spans="1:7">
      <c r="A1119" s="1">
        <v>49758</v>
      </c>
      <c r="B1119" t="s">
        <v>19</v>
      </c>
      <c r="C1119">
        <v>28.7</v>
      </c>
      <c r="D1119">
        <v>11.5</v>
      </c>
      <c r="E1119" s="2">
        <f>C1119*D1119 / 100</f>
        <v>3.3005</v>
      </c>
      <c r="F1119">
        <f>IF(F1118 &lt; 7, F1118 +1,1)</f>
        <v>5</v>
      </c>
      <c r="G1119" t="str">
        <f t="shared" si="17"/>
        <v/>
      </c>
    </row>
    <row r="1120" spans="1:7">
      <c r="A1120" s="1">
        <v>49759</v>
      </c>
      <c r="B1120" t="s">
        <v>30</v>
      </c>
      <c r="C1120">
        <v>19.100000000000001</v>
      </c>
      <c r="D1120">
        <v>0</v>
      </c>
      <c r="E1120" s="2">
        <f>C1120*D1120 / 100</f>
        <v>0</v>
      </c>
      <c r="F1120">
        <f>IF(F1119 &lt; 7, F1119 +1,1)</f>
        <v>6</v>
      </c>
      <c r="G1120" t="str">
        <f t="shared" si="17"/>
        <v/>
      </c>
    </row>
    <row r="1121" spans="1:7">
      <c r="A1121" s="1">
        <v>49760</v>
      </c>
      <c r="B1121" t="s">
        <v>21</v>
      </c>
      <c r="C1121">
        <v>10.199999999999999</v>
      </c>
      <c r="D1121">
        <v>7.6</v>
      </c>
      <c r="E1121" s="2">
        <f>C1121*D1121 / 100</f>
        <v>0.7752</v>
      </c>
      <c r="F1121">
        <f>IF(F1120 &lt; 7, F1120 +1,1)</f>
        <v>7</v>
      </c>
      <c r="G1121">
        <f t="shared" si="17"/>
        <v>130.89999999999998</v>
      </c>
    </row>
    <row r="1122" spans="1:7">
      <c r="A1122" s="1">
        <v>49761</v>
      </c>
      <c r="B1122" t="s">
        <v>21</v>
      </c>
      <c r="C1122">
        <v>18.399999999999999</v>
      </c>
      <c r="D1122">
        <v>0</v>
      </c>
      <c r="E1122" s="2">
        <f>C1122*D1122 / 100</f>
        <v>0</v>
      </c>
      <c r="F1122">
        <f>IF(F1121 &lt; 7, F1121 +1,1)</f>
        <v>1</v>
      </c>
      <c r="G1122" t="str">
        <f t="shared" si="17"/>
        <v/>
      </c>
    </row>
    <row r="1123" spans="1:7">
      <c r="A1123" s="1">
        <v>49762</v>
      </c>
      <c r="B1123" t="s">
        <v>36</v>
      </c>
      <c r="C1123">
        <v>29.3</v>
      </c>
      <c r="D1123">
        <v>0</v>
      </c>
      <c r="E1123" s="2">
        <f>C1123*D1123 / 100</f>
        <v>0</v>
      </c>
      <c r="F1123">
        <f>IF(F1122 &lt; 7, F1122 +1,1)</f>
        <v>2</v>
      </c>
      <c r="G1123" t="str">
        <f t="shared" si="17"/>
        <v/>
      </c>
    </row>
    <row r="1124" spans="1:7">
      <c r="A1124" s="1">
        <v>49763</v>
      </c>
      <c r="B1124" t="s">
        <v>23</v>
      </c>
      <c r="C1124">
        <v>26.7</v>
      </c>
      <c r="D1124">
        <v>5.7</v>
      </c>
      <c r="E1124" s="2">
        <f>C1124*D1124 / 100</f>
        <v>1.5219</v>
      </c>
      <c r="F1124">
        <f>IF(F1123 &lt; 7, F1123 +1,1)</f>
        <v>3</v>
      </c>
      <c r="G1124" t="str">
        <f t="shared" si="17"/>
        <v/>
      </c>
    </row>
    <row r="1125" spans="1:7">
      <c r="A1125" s="1">
        <v>49764</v>
      </c>
      <c r="B1125" t="s">
        <v>22</v>
      </c>
      <c r="C1125">
        <v>22.2</v>
      </c>
      <c r="D1125">
        <v>0.9</v>
      </c>
      <c r="E1125" s="2">
        <f>C1125*D1125 / 100</f>
        <v>0.19980000000000001</v>
      </c>
      <c r="F1125">
        <f>IF(F1124 &lt; 7, F1124 +1,1)</f>
        <v>4</v>
      </c>
      <c r="G1125" t="str">
        <f t="shared" si="17"/>
        <v/>
      </c>
    </row>
    <row r="1126" spans="1:7">
      <c r="A1126" s="1">
        <v>49765</v>
      </c>
      <c r="B1126" t="s">
        <v>19</v>
      </c>
      <c r="C1126">
        <v>25.5</v>
      </c>
      <c r="D1126">
        <v>5.8</v>
      </c>
      <c r="E1126" s="2">
        <f>C1126*D1126 / 100</f>
        <v>1.4790000000000001</v>
      </c>
      <c r="F1126">
        <f>IF(F1125 &lt; 7, F1125 +1,1)</f>
        <v>5</v>
      </c>
      <c r="G1126" t="str">
        <f t="shared" si="17"/>
        <v/>
      </c>
    </row>
    <row r="1127" spans="1:7">
      <c r="A1127" s="1">
        <v>49766</v>
      </c>
      <c r="B1127" t="s">
        <v>36</v>
      </c>
      <c r="C1127">
        <v>23.5</v>
      </c>
      <c r="D1127">
        <v>32</v>
      </c>
      <c r="E1127" s="2">
        <f>C1127*D1127 / 100</f>
        <v>7.52</v>
      </c>
      <c r="F1127">
        <f>IF(F1126 &lt; 7, F1126 +1,1)</f>
        <v>6</v>
      </c>
      <c r="G1127" t="str">
        <f t="shared" si="17"/>
        <v/>
      </c>
    </row>
    <row r="1128" spans="1:7">
      <c r="A1128" s="1">
        <v>49767</v>
      </c>
      <c r="B1128" t="s">
        <v>10</v>
      </c>
      <c r="C1128">
        <v>28.4</v>
      </c>
      <c r="D1128">
        <v>5.7</v>
      </c>
      <c r="E1128" s="2">
        <f>C1128*D1128 / 100</f>
        <v>1.6188</v>
      </c>
      <c r="F1128">
        <f>IF(F1127 &lt; 7, F1127 +1,1)</f>
        <v>7</v>
      </c>
      <c r="G1128">
        <f t="shared" si="17"/>
        <v>174.00000000000003</v>
      </c>
    </row>
    <row r="1129" spans="1:7">
      <c r="A1129" s="1">
        <v>49768</v>
      </c>
      <c r="B1129" t="s">
        <v>24</v>
      </c>
      <c r="C1129">
        <v>13.7</v>
      </c>
      <c r="D1129">
        <v>6</v>
      </c>
      <c r="E1129" s="2">
        <f>C1129*D1129 / 100</f>
        <v>0.82199999999999984</v>
      </c>
      <c r="F1129">
        <f>IF(F1128 &lt; 7, F1128 +1,1)</f>
        <v>1</v>
      </c>
      <c r="G1129" t="str">
        <f t="shared" si="17"/>
        <v/>
      </c>
    </row>
    <row r="1130" spans="1:7">
      <c r="A1130" s="1">
        <v>49769</v>
      </c>
      <c r="B1130" t="s">
        <v>26</v>
      </c>
      <c r="C1130">
        <v>22.1</v>
      </c>
      <c r="D1130">
        <v>11.7</v>
      </c>
      <c r="E1130" s="2">
        <f>C1130*D1130 / 100</f>
        <v>2.5857000000000001</v>
      </c>
      <c r="F1130">
        <f>IF(F1129 &lt; 7, F1129 +1,1)</f>
        <v>2</v>
      </c>
      <c r="G1130" t="str">
        <f t="shared" si="17"/>
        <v/>
      </c>
    </row>
    <row r="1131" spans="1:7">
      <c r="A1131" s="1">
        <v>49770</v>
      </c>
      <c r="B1131" t="s">
        <v>9</v>
      </c>
      <c r="C1131">
        <v>16.899999999999999</v>
      </c>
      <c r="D1131">
        <v>18.2</v>
      </c>
      <c r="E1131" s="2">
        <f>C1131*D1131 / 100</f>
        <v>3.0757999999999996</v>
      </c>
      <c r="F1131">
        <f>IF(F1130 &lt; 7, F1130 +1,1)</f>
        <v>3</v>
      </c>
      <c r="G1131" t="str">
        <f t="shared" si="17"/>
        <v/>
      </c>
    </row>
    <row r="1132" spans="1:7">
      <c r="A1132" s="1">
        <v>49771</v>
      </c>
      <c r="B1132" t="s">
        <v>24</v>
      </c>
      <c r="C1132">
        <v>28</v>
      </c>
      <c r="D1132">
        <v>0</v>
      </c>
      <c r="E1132" s="2">
        <f>C1132*D1132 / 100</f>
        <v>0</v>
      </c>
      <c r="F1132">
        <f>IF(F1131 &lt; 7, F1131 +1,1)</f>
        <v>4</v>
      </c>
      <c r="G1132" t="str">
        <f t="shared" si="17"/>
        <v/>
      </c>
    </row>
    <row r="1133" spans="1:7">
      <c r="A1133" s="1">
        <v>49772</v>
      </c>
      <c r="B1133" t="s">
        <v>21</v>
      </c>
      <c r="C1133">
        <v>13.5</v>
      </c>
      <c r="D1133">
        <v>3.7</v>
      </c>
      <c r="E1133" s="2">
        <f>C1133*D1133 / 100</f>
        <v>0.49950000000000006</v>
      </c>
      <c r="F1133">
        <f>IF(F1132 &lt; 7, F1132 +1,1)</f>
        <v>5</v>
      </c>
      <c r="G1133" t="str">
        <f t="shared" si="17"/>
        <v/>
      </c>
    </row>
    <row r="1134" spans="1:7">
      <c r="A1134" s="1">
        <v>49773</v>
      </c>
      <c r="B1134" t="s">
        <v>36</v>
      </c>
      <c r="C1134">
        <v>13.4</v>
      </c>
      <c r="D1134">
        <v>22.5</v>
      </c>
      <c r="E1134" s="2">
        <f>C1134*D1134 / 100</f>
        <v>3.0150000000000001</v>
      </c>
      <c r="F1134">
        <f>IF(F1133 &lt; 7, F1133 +1,1)</f>
        <v>6</v>
      </c>
      <c r="G1134" t="str">
        <f t="shared" si="17"/>
        <v/>
      </c>
    </row>
    <row r="1135" spans="1:7">
      <c r="A1135" s="1">
        <v>49774</v>
      </c>
      <c r="B1135" t="s">
        <v>30</v>
      </c>
      <c r="C1135">
        <v>19.899999999999999</v>
      </c>
      <c r="D1135">
        <v>11.6</v>
      </c>
      <c r="E1135" s="2">
        <f>C1135*D1135 / 100</f>
        <v>2.3083999999999998</v>
      </c>
      <c r="F1135">
        <f>IF(F1134 &lt; 7, F1134 +1,1)</f>
        <v>7</v>
      </c>
      <c r="G1135">
        <f t="shared" si="17"/>
        <v>127.5</v>
      </c>
    </row>
    <row r="1136" spans="1:7">
      <c r="A1136" s="1">
        <v>49775</v>
      </c>
      <c r="B1136" t="s">
        <v>16</v>
      </c>
      <c r="C1136">
        <v>24.2</v>
      </c>
      <c r="D1136">
        <v>11</v>
      </c>
      <c r="E1136" s="2">
        <f>C1136*D1136 / 100</f>
        <v>2.6619999999999999</v>
      </c>
      <c r="F1136">
        <f>IF(F1135 &lt; 7, F1135 +1,1)</f>
        <v>1</v>
      </c>
      <c r="G1136" t="str">
        <f t="shared" si="17"/>
        <v/>
      </c>
    </row>
    <row r="1137" spans="1:7">
      <c r="A1137" s="1">
        <v>49776</v>
      </c>
      <c r="B1137" t="s">
        <v>14</v>
      </c>
      <c r="C1137">
        <v>20.399999999999999</v>
      </c>
      <c r="D1137">
        <v>0</v>
      </c>
      <c r="E1137" s="2">
        <f>C1137*D1137 / 100</f>
        <v>0</v>
      </c>
      <c r="F1137">
        <f>IF(F1136 &lt; 7, F1136 +1,1)</f>
        <v>2</v>
      </c>
      <c r="G1137" t="str">
        <f t="shared" si="17"/>
        <v/>
      </c>
    </row>
    <row r="1138" spans="1:7">
      <c r="A1138" s="1">
        <v>49777</v>
      </c>
      <c r="B1138" t="s">
        <v>14</v>
      </c>
      <c r="C1138">
        <v>16.600000000000001</v>
      </c>
      <c r="D1138">
        <v>3.9</v>
      </c>
      <c r="E1138" s="2">
        <f>C1138*D1138 / 100</f>
        <v>0.64740000000000009</v>
      </c>
      <c r="F1138">
        <f>IF(F1137 &lt; 7, F1137 +1,1)</f>
        <v>3</v>
      </c>
      <c r="G1138" t="str">
        <f t="shared" si="17"/>
        <v/>
      </c>
    </row>
    <row r="1139" spans="1:7">
      <c r="A1139" s="1">
        <v>49778</v>
      </c>
      <c r="B1139" t="s">
        <v>32</v>
      </c>
      <c r="C1139">
        <v>14.3</v>
      </c>
      <c r="D1139">
        <v>0</v>
      </c>
      <c r="E1139" s="2">
        <f>C1139*D1139 / 100</f>
        <v>0</v>
      </c>
      <c r="F1139">
        <f>IF(F1138 &lt; 7, F1138 +1,1)</f>
        <v>4</v>
      </c>
      <c r="G1139" t="str">
        <f t="shared" si="17"/>
        <v/>
      </c>
    </row>
    <row r="1140" spans="1:7">
      <c r="A1140" s="1">
        <v>49779</v>
      </c>
      <c r="B1140" t="s">
        <v>12</v>
      </c>
      <c r="C1140">
        <v>24.4</v>
      </c>
      <c r="D1140">
        <v>4.4000000000000004</v>
      </c>
      <c r="E1140" s="2">
        <f>C1140*D1140 / 100</f>
        <v>1.0735999999999999</v>
      </c>
      <c r="F1140">
        <f>IF(F1139 &lt; 7, F1139 +1,1)</f>
        <v>5</v>
      </c>
      <c r="G1140" t="str">
        <f t="shared" si="17"/>
        <v/>
      </c>
    </row>
    <row r="1141" spans="1:7">
      <c r="A1141" s="1">
        <v>49780</v>
      </c>
      <c r="B1141" t="s">
        <v>21</v>
      </c>
      <c r="C1141">
        <v>26.7</v>
      </c>
      <c r="D1141">
        <v>30.4</v>
      </c>
      <c r="E1141" s="2">
        <f>C1141*D1141 / 100</f>
        <v>8.1167999999999996</v>
      </c>
      <c r="F1141">
        <f>IF(F1140 &lt; 7, F1140 +1,1)</f>
        <v>6</v>
      </c>
      <c r="G1141" t="str">
        <f t="shared" si="17"/>
        <v/>
      </c>
    </row>
    <row r="1142" spans="1:7">
      <c r="A1142" s="1">
        <v>49781</v>
      </c>
      <c r="B1142" t="s">
        <v>19</v>
      </c>
      <c r="C1142">
        <v>20.100000000000001</v>
      </c>
      <c r="D1142">
        <v>3.1</v>
      </c>
      <c r="E1142" s="2">
        <f>C1142*D1142 / 100</f>
        <v>0.6231000000000001</v>
      </c>
      <c r="F1142">
        <f>IF(F1141 &lt; 7, F1141 +1,1)</f>
        <v>7</v>
      </c>
      <c r="G1142">
        <f t="shared" si="17"/>
        <v>146.70000000000002</v>
      </c>
    </row>
    <row r="1143" spans="1:7">
      <c r="A1143" s="1">
        <v>49782</v>
      </c>
      <c r="B1143" t="s">
        <v>30</v>
      </c>
      <c r="C1143">
        <v>13.5</v>
      </c>
      <c r="D1143">
        <v>6.9</v>
      </c>
      <c r="E1143" s="2">
        <f>C1143*D1143 / 100</f>
        <v>0.93150000000000011</v>
      </c>
      <c r="F1143">
        <f>IF(F1142 &lt; 7, F1142 +1,1)</f>
        <v>1</v>
      </c>
      <c r="G1143" t="str">
        <f t="shared" si="17"/>
        <v/>
      </c>
    </row>
    <row r="1144" spans="1:7">
      <c r="A1144" s="1">
        <v>49783</v>
      </c>
      <c r="B1144" t="s">
        <v>16</v>
      </c>
      <c r="C1144">
        <v>18.8</v>
      </c>
      <c r="D1144">
        <v>21.5</v>
      </c>
      <c r="E1144" s="2">
        <f>C1144*D1144 / 100</f>
        <v>4.0419999999999998</v>
      </c>
      <c r="F1144">
        <f>IF(F1143 &lt; 7, F1143 +1,1)</f>
        <v>2</v>
      </c>
      <c r="G1144" t="str">
        <f t="shared" si="17"/>
        <v/>
      </c>
    </row>
    <row r="1145" spans="1:7">
      <c r="A1145" s="1">
        <v>49784</v>
      </c>
      <c r="B1145" t="s">
        <v>36</v>
      </c>
      <c r="C1145">
        <v>18</v>
      </c>
      <c r="D1145">
        <v>13.9</v>
      </c>
      <c r="E1145" s="2">
        <f>C1145*D1145 / 100</f>
        <v>2.5020000000000002</v>
      </c>
      <c r="F1145">
        <f>IF(F1144 &lt; 7, F1144 +1,1)</f>
        <v>3</v>
      </c>
      <c r="G1145" t="str">
        <f t="shared" si="17"/>
        <v/>
      </c>
    </row>
    <row r="1146" spans="1:7">
      <c r="A1146" s="1">
        <v>49785</v>
      </c>
      <c r="B1146" t="s">
        <v>14</v>
      </c>
      <c r="C1146">
        <v>16.899999999999999</v>
      </c>
      <c r="D1146">
        <v>1.8</v>
      </c>
      <c r="E1146" s="2">
        <f>C1146*D1146 / 100</f>
        <v>0.30419999999999997</v>
      </c>
      <c r="F1146">
        <f>IF(F1145 &lt; 7, F1145 +1,1)</f>
        <v>4</v>
      </c>
      <c r="G1146" t="str">
        <f t="shared" si="17"/>
        <v/>
      </c>
    </row>
    <row r="1147" spans="1:7">
      <c r="A1147" s="1">
        <v>49786</v>
      </c>
      <c r="B1147" t="s">
        <v>30</v>
      </c>
      <c r="C1147">
        <v>23.7</v>
      </c>
      <c r="D1147">
        <v>13</v>
      </c>
      <c r="E1147" s="2">
        <f>C1147*D1147 / 100</f>
        <v>3.0809999999999995</v>
      </c>
      <c r="F1147">
        <f>IF(F1146 &lt; 7, F1146 +1,1)</f>
        <v>5</v>
      </c>
      <c r="G1147" t="str">
        <f t="shared" si="17"/>
        <v/>
      </c>
    </row>
    <row r="1148" spans="1:7">
      <c r="A1148" s="1">
        <v>49787</v>
      </c>
      <c r="B1148" t="s">
        <v>27</v>
      </c>
      <c r="C1148">
        <v>17.600000000000001</v>
      </c>
      <c r="D1148">
        <v>0.6</v>
      </c>
      <c r="E1148" s="2">
        <f>C1148*D1148 / 100</f>
        <v>0.1056</v>
      </c>
      <c r="F1148">
        <f>IF(F1147 &lt; 7, F1147 +1,1)</f>
        <v>6</v>
      </c>
      <c r="G1148" t="str">
        <f t="shared" si="17"/>
        <v/>
      </c>
    </row>
    <row r="1149" spans="1:7">
      <c r="A1149" s="1">
        <v>49788</v>
      </c>
      <c r="B1149" t="s">
        <v>16</v>
      </c>
      <c r="C1149">
        <v>29.1</v>
      </c>
      <c r="D1149">
        <v>8.3000000000000007</v>
      </c>
      <c r="E1149" s="2">
        <f>C1149*D1149 / 100</f>
        <v>2.4153000000000002</v>
      </c>
      <c r="F1149">
        <f>IF(F1148 &lt; 7, F1148 +1,1)</f>
        <v>7</v>
      </c>
      <c r="G1149">
        <f t="shared" si="17"/>
        <v>137.6</v>
      </c>
    </row>
    <row r="1150" spans="1:7">
      <c r="A1150" s="1">
        <v>49789</v>
      </c>
      <c r="B1150" t="s">
        <v>26</v>
      </c>
      <c r="C1150">
        <v>26.8</v>
      </c>
      <c r="D1150">
        <v>11.2</v>
      </c>
      <c r="E1150" s="2">
        <f>C1150*D1150 / 100</f>
        <v>3.0015999999999998</v>
      </c>
      <c r="F1150">
        <f>IF(F1149 &lt; 7, F1149 +1,1)</f>
        <v>1</v>
      </c>
      <c r="G1150" t="str">
        <f t="shared" si="17"/>
        <v/>
      </c>
    </row>
    <row r="1151" spans="1:7">
      <c r="A1151" s="1">
        <v>49790</v>
      </c>
      <c r="B1151" t="s">
        <v>29</v>
      </c>
      <c r="C1151">
        <v>10.5</v>
      </c>
      <c r="D1151">
        <v>0</v>
      </c>
      <c r="E1151" s="2">
        <f>C1151*D1151 / 100</f>
        <v>0</v>
      </c>
      <c r="F1151">
        <f>IF(F1150 &lt; 7, F1150 +1,1)</f>
        <v>2</v>
      </c>
      <c r="G1151" t="str">
        <f t="shared" si="17"/>
        <v/>
      </c>
    </row>
    <row r="1152" spans="1:7">
      <c r="A1152" s="1">
        <v>49791</v>
      </c>
      <c r="B1152" t="s">
        <v>9</v>
      </c>
      <c r="C1152">
        <v>13.5</v>
      </c>
      <c r="D1152">
        <v>0</v>
      </c>
      <c r="E1152" s="2">
        <f>C1152*D1152 / 100</f>
        <v>0</v>
      </c>
      <c r="F1152">
        <f>IF(F1151 &lt; 7, F1151 +1,1)</f>
        <v>3</v>
      </c>
      <c r="G1152" t="str">
        <f t="shared" si="17"/>
        <v/>
      </c>
    </row>
    <row r="1153" spans="1:7">
      <c r="A1153" s="1">
        <v>49792</v>
      </c>
      <c r="B1153" t="s">
        <v>21</v>
      </c>
      <c r="C1153">
        <v>14</v>
      </c>
      <c r="D1153">
        <v>22</v>
      </c>
      <c r="E1153" s="2">
        <f>C1153*D1153 / 100</f>
        <v>3.08</v>
      </c>
      <c r="F1153">
        <f>IF(F1152 &lt; 7, F1152 +1,1)</f>
        <v>4</v>
      </c>
      <c r="G1153" t="str">
        <f t="shared" si="17"/>
        <v/>
      </c>
    </row>
    <row r="1154" spans="1:7">
      <c r="A1154" s="1">
        <v>49793</v>
      </c>
      <c r="B1154" t="s">
        <v>9</v>
      </c>
      <c r="C1154">
        <v>26.7</v>
      </c>
      <c r="D1154">
        <v>8</v>
      </c>
      <c r="E1154" s="2">
        <f>C1154*D1154 / 100</f>
        <v>2.1360000000000001</v>
      </c>
      <c r="F1154">
        <f>IF(F1153 &lt; 7, F1153 +1,1)</f>
        <v>5</v>
      </c>
      <c r="G1154" t="str">
        <f t="shared" si="17"/>
        <v/>
      </c>
    </row>
    <row r="1155" spans="1:7">
      <c r="A1155" s="1">
        <v>49794</v>
      </c>
      <c r="B1155" t="s">
        <v>12</v>
      </c>
      <c r="C1155">
        <v>11.2</v>
      </c>
      <c r="D1155">
        <v>6.1</v>
      </c>
      <c r="E1155" s="2">
        <f>C1155*D1155 / 100</f>
        <v>0.68319999999999992</v>
      </c>
      <c r="F1155">
        <f>IF(F1154 &lt; 7, F1154 +1,1)</f>
        <v>6</v>
      </c>
      <c r="G1155" t="str">
        <f t="shared" si="17"/>
        <v/>
      </c>
    </row>
    <row r="1156" spans="1:7">
      <c r="A1156" s="1">
        <v>49795</v>
      </c>
      <c r="B1156" t="s">
        <v>14</v>
      </c>
      <c r="C1156">
        <v>24.7</v>
      </c>
      <c r="D1156">
        <v>0</v>
      </c>
      <c r="E1156" s="2">
        <f>C1156*D1156 / 100</f>
        <v>0</v>
      </c>
      <c r="F1156">
        <f>IF(F1155 &lt; 7, F1155 +1,1)</f>
        <v>7</v>
      </c>
      <c r="G1156">
        <f t="shared" si="17"/>
        <v>127.4</v>
      </c>
    </row>
    <row r="1157" spans="1:7">
      <c r="A1157" s="1">
        <v>49796</v>
      </c>
      <c r="B1157" t="s">
        <v>25</v>
      </c>
      <c r="C1157">
        <v>27.2</v>
      </c>
      <c r="D1157">
        <v>0.3</v>
      </c>
      <c r="E1157" s="2">
        <f>C1157*D1157 / 100</f>
        <v>8.1600000000000006E-2</v>
      </c>
      <c r="F1157">
        <f>IF(F1156 &lt; 7, F1156 +1,1)</f>
        <v>1</v>
      </c>
      <c r="G1157" t="str">
        <f t="shared" si="17"/>
        <v/>
      </c>
    </row>
    <row r="1158" spans="1:7">
      <c r="A1158" s="1">
        <v>49797</v>
      </c>
      <c r="B1158" t="s">
        <v>17</v>
      </c>
      <c r="C1158">
        <v>11</v>
      </c>
      <c r="D1158">
        <v>0</v>
      </c>
      <c r="E1158" s="2">
        <f>C1158*D1158 / 100</f>
        <v>0</v>
      </c>
      <c r="F1158">
        <f>IF(F1157 &lt; 7, F1157 +1,1)</f>
        <v>2</v>
      </c>
      <c r="G1158" t="str">
        <f t="shared" si="17"/>
        <v/>
      </c>
    </row>
    <row r="1159" spans="1:7">
      <c r="A1159" s="1">
        <v>49798</v>
      </c>
      <c r="B1159" t="s">
        <v>34</v>
      </c>
      <c r="C1159">
        <v>10.9</v>
      </c>
      <c r="D1159">
        <v>4.4000000000000004</v>
      </c>
      <c r="E1159" s="2">
        <f>C1159*D1159 / 100</f>
        <v>0.47960000000000008</v>
      </c>
      <c r="F1159">
        <f>IF(F1158 &lt; 7, F1158 +1,1)</f>
        <v>3</v>
      </c>
      <c r="G1159" t="str">
        <f t="shared" si="17"/>
        <v/>
      </c>
    </row>
    <row r="1160" spans="1:7">
      <c r="A1160" s="1">
        <v>49799</v>
      </c>
      <c r="B1160" t="s">
        <v>16</v>
      </c>
      <c r="C1160">
        <v>27.4</v>
      </c>
      <c r="D1160">
        <v>6</v>
      </c>
      <c r="E1160" s="2">
        <f>C1160*D1160 / 100</f>
        <v>1.6439999999999997</v>
      </c>
      <c r="F1160">
        <f>IF(F1159 &lt; 7, F1159 +1,1)</f>
        <v>4</v>
      </c>
      <c r="G1160" t="str">
        <f t="shared" si="17"/>
        <v/>
      </c>
    </row>
    <row r="1161" spans="1:7">
      <c r="A1161" s="1">
        <v>49800</v>
      </c>
      <c r="B1161" t="s">
        <v>30</v>
      </c>
      <c r="C1161">
        <v>20</v>
      </c>
      <c r="D1161">
        <v>7.6</v>
      </c>
      <c r="E1161" s="2">
        <f>C1161*D1161 / 100</f>
        <v>1.52</v>
      </c>
      <c r="F1161">
        <f>IF(F1160 &lt; 7, F1160 +1,1)</f>
        <v>5</v>
      </c>
      <c r="G1161" t="str">
        <f t="shared" ref="G1161:G1224" si="18">IF(F1161=7, SUM(C1155:C1161), "")</f>
        <v/>
      </c>
    </row>
    <row r="1162" spans="1:7">
      <c r="A1162" s="1">
        <v>49801</v>
      </c>
      <c r="B1162" t="s">
        <v>29</v>
      </c>
      <c r="C1162">
        <v>23.5</v>
      </c>
      <c r="D1162">
        <v>2.5</v>
      </c>
      <c r="E1162" s="2">
        <f>C1162*D1162 / 100</f>
        <v>0.58750000000000002</v>
      </c>
      <c r="F1162">
        <f>IF(F1161 &lt; 7, F1161 +1,1)</f>
        <v>6</v>
      </c>
      <c r="G1162" t="str">
        <f t="shared" si="18"/>
        <v/>
      </c>
    </row>
    <row r="1163" spans="1:7">
      <c r="A1163" s="1">
        <v>49802</v>
      </c>
      <c r="B1163" t="s">
        <v>9</v>
      </c>
      <c r="C1163">
        <v>28.5</v>
      </c>
      <c r="D1163">
        <v>0</v>
      </c>
      <c r="E1163" s="2">
        <f>C1163*D1163 / 100</f>
        <v>0</v>
      </c>
      <c r="F1163">
        <f>IF(F1162 &lt; 7, F1162 +1,1)</f>
        <v>7</v>
      </c>
      <c r="G1163">
        <f t="shared" si="18"/>
        <v>148.5</v>
      </c>
    </row>
    <row r="1164" spans="1:7">
      <c r="A1164" s="1">
        <v>49803</v>
      </c>
      <c r="B1164" t="s">
        <v>14</v>
      </c>
      <c r="C1164">
        <v>10.8</v>
      </c>
      <c r="D1164">
        <v>5.8</v>
      </c>
      <c r="E1164" s="2">
        <f>C1164*D1164 / 100</f>
        <v>0.62639999999999996</v>
      </c>
      <c r="F1164">
        <f>IF(F1163 &lt; 7, F1163 +1,1)</f>
        <v>1</v>
      </c>
      <c r="G1164" t="str">
        <f t="shared" si="18"/>
        <v/>
      </c>
    </row>
    <row r="1165" spans="1:7">
      <c r="A1165" s="1">
        <v>49804</v>
      </c>
      <c r="B1165" t="s">
        <v>33</v>
      </c>
      <c r="C1165">
        <v>18.899999999999999</v>
      </c>
      <c r="D1165">
        <v>9.5</v>
      </c>
      <c r="E1165" s="2">
        <f>C1165*D1165 / 100</f>
        <v>1.7954999999999999</v>
      </c>
      <c r="F1165">
        <f>IF(F1164 &lt; 7, F1164 +1,1)</f>
        <v>2</v>
      </c>
      <c r="G1165" t="str">
        <f t="shared" si="18"/>
        <v/>
      </c>
    </row>
    <row r="1166" spans="1:7">
      <c r="A1166" s="1">
        <v>49805</v>
      </c>
      <c r="B1166" t="s">
        <v>19</v>
      </c>
      <c r="C1166">
        <v>24</v>
      </c>
      <c r="D1166">
        <v>4</v>
      </c>
      <c r="E1166" s="2">
        <f>C1166*D1166 / 100</f>
        <v>0.96</v>
      </c>
      <c r="F1166">
        <f>IF(F1165 &lt; 7, F1165 +1,1)</f>
        <v>3</v>
      </c>
      <c r="G1166" t="str">
        <f t="shared" si="18"/>
        <v/>
      </c>
    </row>
    <row r="1167" spans="1:7">
      <c r="A1167" s="1">
        <v>49806</v>
      </c>
      <c r="B1167" t="s">
        <v>34</v>
      </c>
      <c r="C1167">
        <v>12.7</v>
      </c>
      <c r="D1167">
        <v>3</v>
      </c>
      <c r="E1167" s="2">
        <f>C1167*D1167 / 100</f>
        <v>0.38099999999999995</v>
      </c>
      <c r="F1167">
        <f>IF(F1166 &lt; 7, F1166 +1,1)</f>
        <v>4</v>
      </c>
      <c r="G1167" t="str">
        <f t="shared" si="18"/>
        <v/>
      </c>
    </row>
    <row r="1168" spans="1:7">
      <c r="A1168" s="1">
        <v>49807</v>
      </c>
      <c r="B1168" t="s">
        <v>16</v>
      </c>
      <c r="C1168">
        <v>13.4</v>
      </c>
      <c r="D1168">
        <v>6.2</v>
      </c>
      <c r="E1168" s="2">
        <f>C1168*D1168 / 100</f>
        <v>0.83079999999999998</v>
      </c>
      <c r="F1168">
        <f>IF(F1167 &lt; 7, F1167 +1,1)</f>
        <v>5</v>
      </c>
      <c r="G1168" t="str">
        <f t="shared" si="18"/>
        <v/>
      </c>
    </row>
    <row r="1169" spans="1:7">
      <c r="A1169" s="1">
        <v>49808</v>
      </c>
      <c r="B1169" t="s">
        <v>21</v>
      </c>
      <c r="C1169">
        <v>15.9</v>
      </c>
      <c r="D1169">
        <v>0</v>
      </c>
      <c r="E1169" s="2">
        <f>C1169*D1169 / 100</f>
        <v>0</v>
      </c>
      <c r="F1169">
        <f>IF(F1168 &lt; 7, F1168 +1,1)</f>
        <v>6</v>
      </c>
      <c r="G1169" t="str">
        <f t="shared" si="18"/>
        <v/>
      </c>
    </row>
    <row r="1170" spans="1:7">
      <c r="A1170" s="1">
        <v>49809</v>
      </c>
      <c r="B1170" t="s">
        <v>9</v>
      </c>
      <c r="C1170">
        <v>19.399999999999999</v>
      </c>
      <c r="D1170">
        <v>21.2</v>
      </c>
      <c r="E1170" s="2">
        <f>C1170*D1170 / 100</f>
        <v>4.1128</v>
      </c>
      <c r="F1170">
        <f>IF(F1169 &lt; 7, F1169 +1,1)</f>
        <v>7</v>
      </c>
      <c r="G1170">
        <f t="shared" si="18"/>
        <v>115.10000000000002</v>
      </c>
    </row>
    <row r="1171" spans="1:7">
      <c r="A1171" s="1">
        <v>49810</v>
      </c>
      <c r="B1171" t="s">
        <v>33</v>
      </c>
      <c r="C1171">
        <v>16.3</v>
      </c>
      <c r="D1171">
        <v>17.600000000000001</v>
      </c>
      <c r="E1171" s="2">
        <f>C1171*D1171 / 100</f>
        <v>2.8688000000000007</v>
      </c>
      <c r="F1171">
        <f>IF(F1170 &lt; 7, F1170 +1,1)</f>
        <v>1</v>
      </c>
      <c r="G1171" t="str">
        <f t="shared" si="18"/>
        <v/>
      </c>
    </row>
    <row r="1172" spans="1:7">
      <c r="A1172" s="1">
        <v>49811</v>
      </c>
      <c r="B1172" t="s">
        <v>9</v>
      </c>
      <c r="C1172">
        <v>28</v>
      </c>
      <c r="D1172">
        <v>20.399999999999999</v>
      </c>
      <c r="E1172" s="2">
        <f>C1172*D1172 / 100</f>
        <v>5.7119999999999997</v>
      </c>
      <c r="F1172">
        <f>IF(F1171 &lt; 7, F1171 +1,1)</f>
        <v>2</v>
      </c>
      <c r="G1172" t="str">
        <f t="shared" si="18"/>
        <v/>
      </c>
    </row>
    <row r="1173" spans="1:7">
      <c r="A1173" s="1">
        <v>49812</v>
      </c>
      <c r="B1173" t="s">
        <v>34</v>
      </c>
      <c r="C1173">
        <v>19</v>
      </c>
      <c r="D1173">
        <v>5.2</v>
      </c>
      <c r="E1173" s="2">
        <f>C1173*D1173 / 100</f>
        <v>0.98799999999999999</v>
      </c>
      <c r="F1173">
        <f>IF(F1172 &lt; 7, F1172 +1,1)</f>
        <v>3</v>
      </c>
      <c r="G1173" t="str">
        <f t="shared" si="18"/>
        <v/>
      </c>
    </row>
    <row r="1174" spans="1:7">
      <c r="A1174" s="1">
        <v>49813</v>
      </c>
      <c r="B1174" t="s">
        <v>14</v>
      </c>
      <c r="C1174">
        <v>24.1</v>
      </c>
      <c r="D1174">
        <v>4.8</v>
      </c>
      <c r="E1174" s="2">
        <f>C1174*D1174 / 100</f>
        <v>1.1568000000000001</v>
      </c>
      <c r="F1174">
        <f>IF(F1173 &lt; 7, F1173 +1,1)</f>
        <v>4</v>
      </c>
      <c r="G1174" t="str">
        <f t="shared" si="18"/>
        <v/>
      </c>
    </row>
    <row r="1175" spans="1:7">
      <c r="A1175" s="1">
        <v>49814</v>
      </c>
      <c r="B1175" t="s">
        <v>21</v>
      </c>
      <c r="C1175">
        <v>15.2</v>
      </c>
      <c r="D1175">
        <v>25.7</v>
      </c>
      <c r="E1175" s="2">
        <f>C1175*D1175 / 100</f>
        <v>3.9063999999999997</v>
      </c>
      <c r="F1175">
        <f>IF(F1174 &lt; 7, F1174 +1,1)</f>
        <v>5</v>
      </c>
      <c r="G1175" t="str">
        <f t="shared" si="18"/>
        <v/>
      </c>
    </row>
    <row r="1176" spans="1:7">
      <c r="A1176" s="1">
        <v>49815</v>
      </c>
      <c r="B1176" t="s">
        <v>9</v>
      </c>
      <c r="C1176">
        <v>16.3</v>
      </c>
      <c r="D1176">
        <v>21</v>
      </c>
      <c r="E1176" s="2">
        <f>C1176*D1176 / 100</f>
        <v>3.423</v>
      </c>
      <c r="F1176">
        <f>IF(F1175 &lt; 7, F1175 +1,1)</f>
        <v>6</v>
      </c>
      <c r="G1176" t="str">
        <f t="shared" si="18"/>
        <v/>
      </c>
    </row>
    <row r="1177" spans="1:7">
      <c r="A1177" s="1">
        <v>49816</v>
      </c>
      <c r="B1177" t="s">
        <v>16</v>
      </c>
      <c r="C1177">
        <v>26.9</v>
      </c>
      <c r="D1177">
        <v>0</v>
      </c>
      <c r="E1177" s="2">
        <f>C1177*D1177 / 100</f>
        <v>0</v>
      </c>
      <c r="F1177">
        <f>IF(F1176 &lt; 7, F1176 +1,1)</f>
        <v>7</v>
      </c>
      <c r="G1177">
        <f t="shared" si="18"/>
        <v>145.80000000000001</v>
      </c>
    </row>
    <row r="1178" spans="1:7">
      <c r="A1178" s="1">
        <v>49817</v>
      </c>
      <c r="B1178" t="s">
        <v>26</v>
      </c>
      <c r="C1178">
        <v>25</v>
      </c>
      <c r="D1178">
        <v>0.5</v>
      </c>
      <c r="E1178" s="2">
        <f>C1178*D1178 / 100</f>
        <v>0.125</v>
      </c>
      <c r="F1178">
        <f>IF(F1177 &lt; 7, F1177 +1,1)</f>
        <v>1</v>
      </c>
      <c r="G1178" t="str">
        <f t="shared" si="18"/>
        <v/>
      </c>
    </row>
    <row r="1179" spans="1:7">
      <c r="A1179" s="1">
        <v>49818</v>
      </c>
      <c r="B1179" t="s">
        <v>23</v>
      </c>
      <c r="C1179">
        <v>25.1</v>
      </c>
      <c r="D1179">
        <v>5.2</v>
      </c>
      <c r="E1179" s="2">
        <f>C1179*D1179 / 100</f>
        <v>1.3052000000000001</v>
      </c>
      <c r="F1179">
        <f>IF(F1178 &lt; 7, F1178 +1,1)</f>
        <v>2</v>
      </c>
      <c r="G1179" t="str">
        <f t="shared" si="18"/>
        <v/>
      </c>
    </row>
    <row r="1180" spans="1:7">
      <c r="A1180" s="1">
        <v>49819</v>
      </c>
      <c r="B1180" t="s">
        <v>34</v>
      </c>
      <c r="C1180">
        <v>29.2</v>
      </c>
      <c r="D1180">
        <v>7.1</v>
      </c>
      <c r="E1180" s="2">
        <f>C1180*D1180 / 100</f>
        <v>2.0731999999999999</v>
      </c>
      <c r="F1180">
        <f>IF(F1179 &lt; 7, F1179 +1,1)</f>
        <v>3</v>
      </c>
      <c r="G1180" t="str">
        <f t="shared" si="18"/>
        <v/>
      </c>
    </row>
    <row r="1181" spans="1:7">
      <c r="A1181" s="1">
        <v>49820</v>
      </c>
      <c r="B1181" t="s">
        <v>19</v>
      </c>
      <c r="C1181">
        <v>18.100000000000001</v>
      </c>
      <c r="D1181">
        <v>5.0999999999999996</v>
      </c>
      <c r="E1181" s="2">
        <f>C1181*D1181 / 100</f>
        <v>0.92310000000000003</v>
      </c>
      <c r="F1181">
        <f>IF(F1180 &lt; 7, F1180 +1,1)</f>
        <v>4</v>
      </c>
      <c r="G1181" t="str">
        <f t="shared" si="18"/>
        <v/>
      </c>
    </row>
    <row r="1182" spans="1:7">
      <c r="A1182" s="1">
        <v>49821</v>
      </c>
      <c r="B1182" t="s">
        <v>9</v>
      </c>
      <c r="C1182">
        <v>12.5</v>
      </c>
      <c r="D1182">
        <v>0</v>
      </c>
      <c r="E1182" s="2">
        <f>C1182*D1182 / 100</f>
        <v>0</v>
      </c>
      <c r="F1182">
        <f>IF(F1181 &lt; 7, F1181 +1,1)</f>
        <v>5</v>
      </c>
      <c r="G1182" t="str">
        <f t="shared" si="18"/>
        <v/>
      </c>
    </row>
    <row r="1183" spans="1:7">
      <c r="A1183" s="1">
        <v>49822</v>
      </c>
      <c r="B1183" t="s">
        <v>9</v>
      </c>
      <c r="C1183">
        <v>19.100000000000001</v>
      </c>
      <c r="D1183">
        <v>0.3</v>
      </c>
      <c r="E1183" s="2">
        <f>C1183*D1183 / 100</f>
        <v>5.7300000000000004E-2</v>
      </c>
      <c r="F1183">
        <f>IF(F1182 &lt; 7, F1182 +1,1)</f>
        <v>6</v>
      </c>
      <c r="G1183" t="str">
        <f t="shared" si="18"/>
        <v/>
      </c>
    </row>
    <row r="1184" spans="1:7">
      <c r="A1184" s="1">
        <v>49823</v>
      </c>
      <c r="B1184" t="s">
        <v>36</v>
      </c>
      <c r="C1184">
        <v>27.4</v>
      </c>
      <c r="D1184">
        <v>0</v>
      </c>
      <c r="E1184" s="2">
        <f>C1184*D1184 / 100</f>
        <v>0</v>
      </c>
      <c r="F1184">
        <f>IF(F1183 &lt; 7, F1183 +1,1)</f>
        <v>7</v>
      </c>
      <c r="G1184">
        <f t="shared" si="18"/>
        <v>156.4</v>
      </c>
    </row>
    <row r="1185" spans="1:7">
      <c r="A1185" s="1">
        <v>49824</v>
      </c>
      <c r="B1185" t="s">
        <v>16</v>
      </c>
      <c r="C1185">
        <v>21.1</v>
      </c>
      <c r="D1185">
        <v>10.4</v>
      </c>
      <c r="E1185" s="2">
        <f>C1185*D1185 / 100</f>
        <v>2.1944000000000004</v>
      </c>
      <c r="F1185">
        <f>IF(F1184 &lt; 7, F1184 +1,1)</f>
        <v>1</v>
      </c>
      <c r="G1185" t="str">
        <f t="shared" si="18"/>
        <v/>
      </c>
    </row>
    <row r="1186" spans="1:7">
      <c r="A1186" s="1">
        <v>49825</v>
      </c>
      <c r="B1186" t="s">
        <v>14</v>
      </c>
      <c r="C1186">
        <v>13.4</v>
      </c>
      <c r="D1186">
        <v>0</v>
      </c>
      <c r="E1186" s="2">
        <f>C1186*D1186 / 100</f>
        <v>0</v>
      </c>
      <c r="F1186">
        <f>IF(F1185 &lt; 7, F1185 +1,1)</f>
        <v>2</v>
      </c>
      <c r="G1186" t="str">
        <f t="shared" si="18"/>
        <v/>
      </c>
    </row>
    <row r="1187" spans="1:7">
      <c r="A1187" s="1">
        <v>49826</v>
      </c>
      <c r="B1187" t="s">
        <v>10</v>
      </c>
      <c r="C1187">
        <v>11.9</v>
      </c>
      <c r="D1187">
        <v>7.3</v>
      </c>
      <c r="E1187" s="2">
        <f>C1187*D1187 / 100</f>
        <v>0.86870000000000003</v>
      </c>
      <c r="F1187">
        <f>IF(F1186 &lt; 7, F1186 +1,1)</f>
        <v>3</v>
      </c>
      <c r="G1187" t="str">
        <f t="shared" si="18"/>
        <v/>
      </c>
    </row>
    <row r="1188" spans="1:7">
      <c r="A1188" s="1">
        <v>49827</v>
      </c>
      <c r="B1188" t="s">
        <v>19</v>
      </c>
      <c r="C1188">
        <v>20.399999999999999</v>
      </c>
      <c r="D1188">
        <v>4.3</v>
      </c>
      <c r="E1188" s="2">
        <f>C1188*D1188 / 100</f>
        <v>0.87719999999999987</v>
      </c>
      <c r="F1188">
        <f>IF(F1187 &lt; 7, F1187 +1,1)</f>
        <v>4</v>
      </c>
      <c r="G1188" t="str">
        <f t="shared" si="18"/>
        <v/>
      </c>
    </row>
    <row r="1189" spans="1:7">
      <c r="A1189" s="1">
        <v>49828</v>
      </c>
      <c r="B1189" t="s">
        <v>16</v>
      </c>
      <c r="C1189">
        <v>29.5</v>
      </c>
      <c r="D1189">
        <v>18.600000000000001</v>
      </c>
      <c r="E1189" s="2">
        <f>C1189*D1189 / 100</f>
        <v>5.4870000000000001</v>
      </c>
      <c r="F1189">
        <f>IF(F1188 &lt; 7, F1188 +1,1)</f>
        <v>5</v>
      </c>
      <c r="G1189" t="str">
        <f t="shared" si="18"/>
        <v/>
      </c>
    </row>
    <row r="1190" spans="1:7">
      <c r="A1190" s="1">
        <v>49829</v>
      </c>
      <c r="B1190" t="s">
        <v>34</v>
      </c>
      <c r="C1190">
        <v>24.1</v>
      </c>
      <c r="D1190">
        <v>5</v>
      </c>
      <c r="E1190" s="2">
        <f>C1190*D1190 / 100</f>
        <v>1.2050000000000001</v>
      </c>
      <c r="F1190">
        <f>IF(F1189 &lt; 7, F1189 +1,1)</f>
        <v>6</v>
      </c>
      <c r="G1190" t="str">
        <f t="shared" si="18"/>
        <v/>
      </c>
    </row>
    <row r="1191" spans="1:7">
      <c r="A1191" s="1">
        <v>49830</v>
      </c>
      <c r="B1191" t="s">
        <v>11</v>
      </c>
      <c r="C1191">
        <v>11.5</v>
      </c>
      <c r="D1191">
        <v>3.6</v>
      </c>
      <c r="E1191" s="2">
        <f>C1191*D1191 / 100</f>
        <v>0.41399999999999998</v>
      </c>
      <c r="F1191">
        <f>IF(F1190 &lt; 7, F1190 +1,1)</f>
        <v>7</v>
      </c>
      <c r="G1191">
        <f t="shared" si="18"/>
        <v>131.9</v>
      </c>
    </row>
    <row r="1192" spans="1:7">
      <c r="A1192" s="1">
        <v>49831</v>
      </c>
      <c r="B1192" t="s">
        <v>35</v>
      </c>
      <c r="C1192">
        <v>21.2</v>
      </c>
      <c r="D1192">
        <v>1.8</v>
      </c>
      <c r="E1192" s="2">
        <f>C1192*D1192 / 100</f>
        <v>0.38159999999999994</v>
      </c>
      <c r="F1192">
        <f>IF(F1191 &lt; 7, F1191 +1,1)</f>
        <v>1</v>
      </c>
      <c r="G1192" t="str">
        <f t="shared" si="18"/>
        <v/>
      </c>
    </row>
    <row r="1193" spans="1:7">
      <c r="A1193" s="1">
        <v>49832</v>
      </c>
      <c r="B1193" t="s">
        <v>21</v>
      </c>
      <c r="C1193">
        <v>22.2</v>
      </c>
      <c r="D1193">
        <v>40.299999999999997</v>
      </c>
      <c r="E1193" s="2">
        <f>C1193*D1193 / 100</f>
        <v>8.9465999999999983</v>
      </c>
      <c r="F1193">
        <f>IF(F1192 &lt; 7, F1192 +1,1)</f>
        <v>2</v>
      </c>
      <c r="G1193" t="str">
        <f t="shared" si="18"/>
        <v/>
      </c>
    </row>
    <row r="1194" spans="1:7">
      <c r="A1194" s="1">
        <v>49833</v>
      </c>
      <c r="B1194" t="s">
        <v>21</v>
      </c>
      <c r="C1194">
        <v>14.6</v>
      </c>
      <c r="D1194">
        <v>2.6</v>
      </c>
      <c r="E1194" s="2">
        <f>C1194*D1194 / 100</f>
        <v>0.37959999999999999</v>
      </c>
      <c r="F1194">
        <f>IF(F1193 &lt; 7, F1193 +1,1)</f>
        <v>3</v>
      </c>
      <c r="G1194" t="str">
        <f t="shared" si="18"/>
        <v/>
      </c>
    </row>
    <row r="1195" spans="1:7">
      <c r="A1195" s="1">
        <v>49834</v>
      </c>
      <c r="B1195" t="s">
        <v>19</v>
      </c>
      <c r="C1195">
        <v>23.3</v>
      </c>
      <c r="D1195">
        <v>8.1</v>
      </c>
      <c r="E1195" s="2">
        <f>C1195*D1195 / 100</f>
        <v>1.8873</v>
      </c>
      <c r="F1195">
        <f>IF(F1194 &lt; 7, F1194 +1,1)</f>
        <v>4</v>
      </c>
      <c r="G1195" t="str">
        <f t="shared" si="18"/>
        <v/>
      </c>
    </row>
    <row r="1196" spans="1:7">
      <c r="A1196" s="1">
        <v>49835</v>
      </c>
      <c r="B1196" t="s">
        <v>19</v>
      </c>
      <c r="C1196">
        <v>16.2</v>
      </c>
      <c r="D1196">
        <v>10.4</v>
      </c>
      <c r="E1196" s="2">
        <f>C1196*D1196 / 100</f>
        <v>1.6847999999999999</v>
      </c>
      <c r="F1196">
        <f>IF(F1195 &lt; 7, F1195 +1,1)</f>
        <v>5</v>
      </c>
      <c r="G1196" t="str">
        <f t="shared" si="18"/>
        <v/>
      </c>
    </row>
    <row r="1197" spans="1:7">
      <c r="A1197" s="1">
        <v>49836</v>
      </c>
      <c r="B1197" t="s">
        <v>21</v>
      </c>
      <c r="C1197">
        <v>25.9</v>
      </c>
      <c r="D1197">
        <v>0</v>
      </c>
      <c r="E1197" s="2">
        <f>C1197*D1197 / 100</f>
        <v>0</v>
      </c>
      <c r="F1197">
        <f>IF(F1196 &lt; 7, F1196 +1,1)</f>
        <v>6</v>
      </c>
      <c r="G1197" t="str">
        <f t="shared" si="18"/>
        <v/>
      </c>
    </row>
    <row r="1198" spans="1:7">
      <c r="A1198" s="1">
        <v>49837</v>
      </c>
      <c r="B1198" t="s">
        <v>10</v>
      </c>
      <c r="C1198">
        <v>14.6</v>
      </c>
      <c r="D1198">
        <v>7</v>
      </c>
      <c r="E1198" s="2">
        <f>C1198*D1198 / 100</f>
        <v>1.022</v>
      </c>
      <c r="F1198">
        <f>IF(F1197 &lt; 7, F1197 +1,1)</f>
        <v>7</v>
      </c>
      <c r="G1198">
        <f t="shared" si="18"/>
        <v>138</v>
      </c>
    </row>
    <row r="1199" spans="1:7">
      <c r="A1199" s="1">
        <v>49838</v>
      </c>
      <c r="B1199" t="s">
        <v>29</v>
      </c>
      <c r="C1199">
        <v>15.1</v>
      </c>
      <c r="D1199">
        <v>11.7</v>
      </c>
      <c r="E1199" s="2">
        <f>C1199*D1199 / 100</f>
        <v>1.7666999999999999</v>
      </c>
      <c r="F1199">
        <f>IF(F1198 &lt; 7, F1198 +1,1)</f>
        <v>1</v>
      </c>
      <c r="G1199" t="str">
        <f t="shared" si="18"/>
        <v/>
      </c>
    </row>
    <row r="1200" spans="1:7">
      <c r="A1200" s="1">
        <v>49839</v>
      </c>
      <c r="B1200" t="s">
        <v>36</v>
      </c>
      <c r="C1200">
        <v>14.1</v>
      </c>
      <c r="D1200">
        <v>6.5</v>
      </c>
      <c r="E1200" s="2">
        <f>C1200*D1200 / 100</f>
        <v>0.91649999999999987</v>
      </c>
      <c r="F1200">
        <f>IF(F1199 &lt; 7, F1199 +1,1)</f>
        <v>2</v>
      </c>
      <c r="G1200" t="str">
        <f t="shared" si="18"/>
        <v/>
      </c>
    </row>
    <row r="1201" spans="1:7">
      <c r="A1201" s="1">
        <v>49840</v>
      </c>
      <c r="B1201" t="s">
        <v>14</v>
      </c>
      <c r="C1201">
        <v>22.1</v>
      </c>
      <c r="D1201">
        <v>1.8</v>
      </c>
      <c r="E1201" s="2">
        <f>C1201*D1201 / 100</f>
        <v>0.39779999999999999</v>
      </c>
      <c r="F1201">
        <f>IF(F1200 &lt; 7, F1200 +1,1)</f>
        <v>3</v>
      </c>
      <c r="G1201" t="str">
        <f t="shared" si="18"/>
        <v/>
      </c>
    </row>
    <row r="1202" spans="1:7">
      <c r="A1202" s="1">
        <v>49841</v>
      </c>
      <c r="B1202" t="s">
        <v>9</v>
      </c>
      <c r="C1202">
        <v>27.2</v>
      </c>
      <c r="D1202">
        <v>21.9</v>
      </c>
      <c r="E1202" s="2">
        <f>C1202*D1202 / 100</f>
        <v>5.9567999999999994</v>
      </c>
      <c r="F1202">
        <f>IF(F1201 &lt; 7, F1201 +1,1)</f>
        <v>4</v>
      </c>
      <c r="G1202" t="str">
        <f t="shared" si="18"/>
        <v/>
      </c>
    </row>
    <row r="1203" spans="1:7">
      <c r="A1203" s="1">
        <v>49842</v>
      </c>
      <c r="B1203" t="s">
        <v>30</v>
      </c>
      <c r="C1203">
        <v>10.8</v>
      </c>
      <c r="D1203">
        <v>0</v>
      </c>
      <c r="E1203" s="2">
        <f>C1203*D1203 / 100</f>
        <v>0</v>
      </c>
      <c r="F1203">
        <f>IF(F1202 &lt; 7, F1202 +1,1)</f>
        <v>5</v>
      </c>
      <c r="G1203" t="str">
        <f t="shared" si="18"/>
        <v/>
      </c>
    </row>
    <row r="1204" spans="1:7">
      <c r="A1204" s="1">
        <v>49843</v>
      </c>
      <c r="B1204" t="s">
        <v>16</v>
      </c>
      <c r="C1204">
        <v>24.6</v>
      </c>
      <c r="D1204">
        <v>0</v>
      </c>
      <c r="E1204" s="2">
        <f>C1204*D1204 / 100</f>
        <v>0</v>
      </c>
      <c r="F1204">
        <f>IF(F1203 &lt; 7, F1203 +1,1)</f>
        <v>6</v>
      </c>
      <c r="G1204" t="str">
        <f t="shared" si="18"/>
        <v/>
      </c>
    </row>
    <row r="1205" spans="1:7">
      <c r="A1205" s="1">
        <v>49844</v>
      </c>
      <c r="B1205" t="s">
        <v>21</v>
      </c>
      <c r="C1205">
        <v>27.8</v>
      </c>
      <c r="D1205">
        <v>26.3</v>
      </c>
      <c r="E1205" s="2">
        <f>C1205*D1205 / 100</f>
        <v>7.3113999999999999</v>
      </c>
      <c r="F1205">
        <f>IF(F1204 &lt; 7, F1204 +1,1)</f>
        <v>7</v>
      </c>
      <c r="G1205">
        <f t="shared" si="18"/>
        <v>141.70000000000002</v>
      </c>
    </row>
    <row r="1206" spans="1:7">
      <c r="A1206" s="1">
        <v>49845</v>
      </c>
      <c r="B1206" t="s">
        <v>11</v>
      </c>
      <c r="C1206">
        <v>12.9</v>
      </c>
      <c r="D1206">
        <v>2.8</v>
      </c>
      <c r="E1206" s="2">
        <f>C1206*D1206 / 100</f>
        <v>0.36119999999999997</v>
      </c>
      <c r="F1206">
        <f>IF(F1205 &lt; 7, F1205 +1,1)</f>
        <v>1</v>
      </c>
      <c r="G1206" t="str">
        <f t="shared" si="18"/>
        <v/>
      </c>
    </row>
    <row r="1207" spans="1:7">
      <c r="A1207" s="1">
        <v>49846</v>
      </c>
      <c r="B1207" t="s">
        <v>19</v>
      </c>
      <c r="C1207">
        <v>13.9</v>
      </c>
      <c r="D1207">
        <v>0.6</v>
      </c>
      <c r="E1207" s="2">
        <f>C1207*D1207 / 100</f>
        <v>8.3400000000000002E-2</v>
      </c>
      <c r="F1207">
        <f>IF(F1206 &lt; 7, F1206 +1,1)</f>
        <v>2</v>
      </c>
      <c r="G1207" t="str">
        <f t="shared" si="18"/>
        <v/>
      </c>
    </row>
    <row r="1208" spans="1:7">
      <c r="A1208" s="1">
        <v>49847</v>
      </c>
      <c r="B1208" t="s">
        <v>25</v>
      </c>
      <c r="C1208">
        <v>27.6</v>
      </c>
      <c r="D1208">
        <v>0.6</v>
      </c>
      <c r="E1208" s="2">
        <f>C1208*D1208 / 100</f>
        <v>0.1656</v>
      </c>
      <c r="F1208">
        <f>IF(F1207 &lt; 7, F1207 +1,1)</f>
        <v>3</v>
      </c>
      <c r="G1208" t="str">
        <f t="shared" si="18"/>
        <v/>
      </c>
    </row>
    <row r="1209" spans="1:7">
      <c r="A1209" s="1">
        <v>49848</v>
      </c>
      <c r="B1209" t="s">
        <v>9</v>
      </c>
      <c r="C1209">
        <v>18.600000000000001</v>
      </c>
      <c r="D1209">
        <v>21.5</v>
      </c>
      <c r="E1209" s="2">
        <f>C1209*D1209 / 100</f>
        <v>3.9990000000000006</v>
      </c>
      <c r="F1209">
        <f>IF(F1208 &lt; 7, F1208 +1,1)</f>
        <v>4</v>
      </c>
      <c r="G1209" t="str">
        <f t="shared" si="18"/>
        <v/>
      </c>
    </row>
    <row r="1210" spans="1:7">
      <c r="A1210" s="1">
        <v>49849</v>
      </c>
      <c r="B1210" t="s">
        <v>30</v>
      </c>
      <c r="C1210">
        <v>17.8</v>
      </c>
      <c r="D1210">
        <v>0</v>
      </c>
      <c r="E1210" s="2">
        <f>C1210*D1210 / 100</f>
        <v>0</v>
      </c>
      <c r="F1210">
        <f>IF(F1209 &lt; 7, F1209 +1,1)</f>
        <v>5</v>
      </c>
      <c r="G1210" t="str">
        <f t="shared" si="18"/>
        <v/>
      </c>
    </row>
    <row r="1211" spans="1:7">
      <c r="A1211" s="1">
        <v>49850</v>
      </c>
      <c r="B1211" t="s">
        <v>33</v>
      </c>
      <c r="C1211">
        <v>20.8</v>
      </c>
      <c r="D1211">
        <v>8.5</v>
      </c>
      <c r="E1211" s="2">
        <f>C1211*D1211 / 100</f>
        <v>1.768</v>
      </c>
      <c r="F1211">
        <f>IF(F1210 &lt; 7, F1210 +1,1)</f>
        <v>6</v>
      </c>
      <c r="G1211" t="str">
        <f t="shared" si="18"/>
        <v/>
      </c>
    </row>
    <row r="1212" spans="1:7">
      <c r="A1212" s="1">
        <v>49851</v>
      </c>
      <c r="B1212" t="s">
        <v>24</v>
      </c>
      <c r="C1212">
        <v>16.399999999999999</v>
      </c>
      <c r="D1212">
        <v>6.8</v>
      </c>
      <c r="E1212" s="2">
        <f>C1212*D1212 / 100</f>
        <v>1.1151999999999997</v>
      </c>
      <c r="F1212">
        <f>IF(F1211 &lt; 7, F1211 +1,1)</f>
        <v>7</v>
      </c>
      <c r="G1212">
        <f t="shared" si="18"/>
        <v>128</v>
      </c>
    </row>
    <row r="1213" spans="1:7">
      <c r="A1213" s="1">
        <v>49852</v>
      </c>
      <c r="B1213" t="s">
        <v>14</v>
      </c>
      <c r="C1213">
        <v>14.6</v>
      </c>
      <c r="D1213">
        <v>0</v>
      </c>
      <c r="E1213" s="2">
        <f>C1213*D1213 / 100</f>
        <v>0</v>
      </c>
      <c r="F1213">
        <f>IF(F1212 &lt; 7, F1212 +1,1)</f>
        <v>1</v>
      </c>
      <c r="G1213" t="str">
        <f t="shared" si="18"/>
        <v/>
      </c>
    </row>
    <row r="1214" spans="1:7">
      <c r="A1214" s="1">
        <v>49853</v>
      </c>
      <c r="B1214" t="s">
        <v>26</v>
      </c>
      <c r="C1214">
        <v>27.1</v>
      </c>
      <c r="D1214">
        <v>1.2</v>
      </c>
      <c r="E1214" s="2">
        <f>C1214*D1214 / 100</f>
        <v>0.32520000000000004</v>
      </c>
      <c r="F1214">
        <f>IF(F1213 &lt; 7, F1213 +1,1)</f>
        <v>2</v>
      </c>
      <c r="G1214" t="str">
        <f t="shared" si="18"/>
        <v/>
      </c>
    </row>
    <row r="1215" spans="1:7">
      <c r="A1215" s="1">
        <v>49854</v>
      </c>
      <c r="B1215" t="s">
        <v>21</v>
      </c>
      <c r="C1215">
        <v>18.3</v>
      </c>
      <c r="D1215">
        <v>3.7</v>
      </c>
      <c r="E1215" s="2">
        <f>C1215*D1215 / 100</f>
        <v>0.67710000000000004</v>
      </c>
      <c r="F1215">
        <f>IF(F1214 &lt; 7, F1214 +1,1)</f>
        <v>3</v>
      </c>
      <c r="G1215" t="str">
        <f t="shared" si="18"/>
        <v/>
      </c>
    </row>
    <row r="1216" spans="1:7">
      <c r="A1216" s="1">
        <v>49855</v>
      </c>
      <c r="B1216" t="s">
        <v>25</v>
      </c>
      <c r="C1216">
        <v>27.1</v>
      </c>
      <c r="D1216">
        <v>0.2</v>
      </c>
      <c r="E1216" s="2">
        <f>C1216*D1216 / 100</f>
        <v>5.4200000000000005E-2</v>
      </c>
      <c r="F1216">
        <f>IF(F1215 &lt; 7, F1215 +1,1)</f>
        <v>4</v>
      </c>
      <c r="G1216" t="str">
        <f t="shared" si="18"/>
        <v/>
      </c>
    </row>
    <row r="1217" spans="1:7">
      <c r="A1217" s="1">
        <v>49856</v>
      </c>
      <c r="B1217" t="s">
        <v>33</v>
      </c>
      <c r="C1217">
        <v>12.9</v>
      </c>
      <c r="D1217">
        <v>10.199999999999999</v>
      </c>
      <c r="E1217" s="2">
        <f>C1217*D1217 / 100</f>
        <v>1.3157999999999999</v>
      </c>
      <c r="F1217">
        <f>IF(F1216 &lt; 7, F1216 +1,1)</f>
        <v>5</v>
      </c>
      <c r="G1217" t="str">
        <f t="shared" si="18"/>
        <v/>
      </c>
    </row>
    <row r="1218" spans="1:7">
      <c r="A1218" s="1">
        <v>49857</v>
      </c>
      <c r="B1218" t="s">
        <v>36</v>
      </c>
      <c r="C1218">
        <v>19.100000000000001</v>
      </c>
      <c r="D1218">
        <v>19.600000000000001</v>
      </c>
      <c r="E1218" s="2">
        <f>C1218*D1218 / 100</f>
        <v>3.7436000000000007</v>
      </c>
      <c r="F1218">
        <f>IF(F1217 &lt; 7, F1217 +1,1)</f>
        <v>6</v>
      </c>
      <c r="G1218" t="str">
        <f t="shared" si="18"/>
        <v/>
      </c>
    </row>
    <row r="1219" spans="1:7">
      <c r="A1219" s="1">
        <v>49858</v>
      </c>
      <c r="B1219" t="s">
        <v>30</v>
      </c>
      <c r="C1219">
        <v>19.2</v>
      </c>
      <c r="D1219">
        <v>3.6</v>
      </c>
      <c r="E1219" s="2">
        <f>C1219*D1219 / 100</f>
        <v>0.69120000000000004</v>
      </c>
      <c r="F1219">
        <f>IF(F1218 &lt; 7, F1218 +1,1)</f>
        <v>7</v>
      </c>
      <c r="G1219">
        <f t="shared" si="18"/>
        <v>138.29999999999998</v>
      </c>
    </row>
    <row r="1220" spans="1:7">
      <c r="A1220" s="1">
        <v>49859</v>
      </c>
      <c r="B1220" t="s">
        <v>26</v>
      </c>
      <c r="C1220">
        <v>25.2</v>
      </c>
      <c r="D1220">
        <v>0</v>
      </c>
      <c r="E1220" s="2">
        <f>C1220*D1220 / 100</f>
        <v>0</v>
      </c>
      <c r="F1220">
        <f>IF(F1219 &lt; 7, F1219 +1,1)</f>
        <v>1</v>
      </c>
      <c r="G1220" t="str">
        <f t="shared" si="18"/>
        <v/>
      </c>
    </row>
    <row r="1221" spans="1:7">
      <c r="A1221" s="1">
        <v>49860</v>
      </c>
      <c r="B1221" t="s">
        <v>33</v>
      </c>
      <c r="C1221">
        <v>13.5</v>
      </c>
      <c r="D1221">
        <v>6.3</v>
      </c>
      <c r="E1221" s="2">
        <f>C1221*D1221 / 100</f>
        <v>0.85049999999999992</v>
      </c>
      <c r="F1221">
        <f>IF(F1220 &lt; 7, F1220 +1,1)</f>
        <v>2</v>
      </c>
      <c r="G1221" t="str">
        <f t="shared" si="18"/>
        <v/>
      </c>
    </row>
    <row r="1222" spans="1:7">
      <c r="A1222" s="1">
        <v>49861</v>
      </c>
      <c r="B1222" t="s">
        <v>34</v>
      </c>
      <c r="C1222">
        <v>19.2</v>
      </c>
      <c r="D1222">
        <v>7.7</v>
      </c>
      <c r="E1222" s="2">
        <f>C1222*D1222 / 100</f>
        <v>1.4783999999999999</v>
      </c>
      <c r="F1222">
        <f>IF(F1221 &lt; 7, F1221 +1,1)</f>
        <v>3</v>
      </c>
      <c r="G1222" t="str">
        <f t="shared" si="18"/>
        <v/>
      </c>
    </row>
    <row r="1223" spans="1:7">
      <c r="A1223" s="1">
        <v>49862</v>
      </c>
      <c r="B1223" t="s">
        <v>11</v>
      </c>
      <c r="C1223">
        <v>24.1</v>
      </c>
      <c r="D1223">
        <v>7.8</v>
      </c>
      <c r="E1223" s="2">
        <f>C1223*D1223 / 100</f>
        <v>1.8798000000000001</v>
      </c>
      <c r="F1223">
        <f>IF(F1222 &lt; 7, F1222 +1,1)</f>
        <v>4</v>
      </c>
      <c r="G1223" t="str">
        <f t="shared" si="18"/>
        <v/>
      </c>
    </row>
    <row r="1224" spans="1:7">
      <c r="A1224" s="1">
        <v>49863</v>
      </c>
      <c r="B1224" t="s">
        <v>21</v>
      </c>
      <c r="C1224">
        <v>17.8</v>
      </c>
      <c r="D1224">
        <v>13.4</v>
      </c>
      <c r="E1224" s="2">
        <f>C1224*D1224 / 100</f>
        <v>2.3852000000000002</v>
      </c>
      <c r="F1224">
        <f>IF(F1223 &lt; 7, F1223 +1,1)</f>
        <v>5</v>
      </c>
      <c r="G1224" t="str">
        <f t="shared" si="18"/>
        <v/>
      </c>
    </row>
    <row r="1225" spans="1:7">
      <c r="A1225" s="1">
        <v>49864</v>
      </c>
      <c r="B1225" t="s">
        <v>16</v>
      </c>
      <c r="C1225">
        <v>24.7</v>
      </c>
      <c r="D1225">
        <v>21.1</v>
      </c>
      <c r="E1225" s="2">
        <f>C1225*D1225 / 100</f>
        <v>5.2117000000000004</v>
      </c>
      <c r="F1225">
        <f>IF(F1224 &lt; 7, F1224 +1,1)</f>
        <v>6</v>
      </c>
      <c r="G1225" t="str">
        <f t="shared" ref="G1225:G1288" si="19">IF(F1225=7, SUM(C1219:C1225), "")</f>
        <v/>
      </c>
    </row>
    <row r="1226" spans="1:7">
      <c r="A1226" s="1">
        <v>49865</v>
      </c>
      <c r="B1226" t="s">
        <v>18</v>
      </c>
      <c r="C1226">
        <v>16.8</v>
      </c>
      <c r="D1226">
        <v>0</v>
      </c>
      <c r="E1226" s="2">
        <f>C1226*D1226 / 100</f>
        <v>0</v>
      </c>
      <c r="F1226">
        <f>IF(F1225 &lt; 7, F1225 +1,1)</f>
        <v>7</v>
      </c>
      <c r="G1226">
        <f t="shared" si="19"/>
        <v>141.30000000000001</v>
      </c>
    </row>
    <row r="1227" spans="1:7">
      <c r="A1227" s="1">
        <v>49866</v>
      </c>
      <c r="B1227" t="s">
        <v>10</v>
      </c>
      <c r="C1227">
        <v>10.7</v>
      </c>
      <c r="D1227">
        <v>3</v>
      </c>
      <c r="E1227" s="2">
        <f>C1227*D1227 / 100</f>
        <v>0.32099999999999995</v>
      </c>
      <c r="F1227">
        <f>IF(F1226 &lt; 7, F1226 +1,1)</f>
        <v>1</v>
      </c>
      <c r="G1227" t="str">
        <f t="shared" si="19"/>
        <v/>
      </c>
    </row>
    <row r="1228" spans="1:7">
      <c r="A1228" s="1">
        <v>49867</v>
      </c>
      <c r="B1228" t="s">
        <v>30</v>
      </c>
      <c r="C1228">
        <v>29.3</v>
      </c>
      <c r="D1228">
        <v>8.3000000000000007</v>
      </c>
      <c r="E1228" s="2">
        <f>C1228*D1228 / 100</f>
        <v>2.4319000000000002</v>
      </c>
      <c r="F1228">
        <f>IF(F1227 &lt; 7, F1227 +1,1)</f>
        <v>2</v>
      </c>
      <c r="G1228" t="str">
        <f t="shared" si="19"/>
        <v/>
      </c>
    </row>
    <row r="1229" spans="1:7">
      <c r="A1229" s="1">
        <v>49868</v>
      </c>
      <c r="B1229" t="s">
        <v>35</v>
      </c>
      <c r="C1229">
        <v>28.2</v>
      </c>
      <c r="D1229">
        <v>0</v>
      </c>
      <c r="E1229" s="2">
        <f>C1229*D1229 / 100</f>
        <v>0</v>
      </c>
      <c r="F1229">
        <f>IF(F1228 &lt; 7, F1228 +1,1)</f>
        <v>3</v>
      </c>
      <c r="G1229" t="str">
        <f t="shared" si="19"/>
        <v/>
      </c>
    </row>
    <row r="1230" spans="1:7">
      <c r="A1230" s="1">
        <v>49869</v>
      </c>
      <c r="B1230" t="s">
        <v>21</v>
      </c>
      <c r="C1230">
        <v>17.3</v>
      </c>
      <c r="D1230">
        <v>33.6</v>
      </c>
      <c r="E1230" s="2">
        <f>C1230*D1230 / 100</f>
        <v>5.8128000000000011</v>
      </c>
      <c r="F1230">
        <f>IF(F1229 &lt; 7, F1229 +1,1)</f>
        <v>4</v>
      </c>
      <c r="G1230" t="str">
        <f t="shared" si="19"/>
        <v/>
      </c>
    </row>
    <row r="1231" spans="1:7">
      <c r="A1231" s="1">
        <v>49870</v>
      </c>
      <c r="B1231" t="s">
        <v>30</v>
      </c>
      <c r="C1231">
        <v>24.6</v>
      </c>
      <c r="D1231">
        <v>0</v>
      </c>
      <c r="E1231" s="2">
        <f>C1231*D1231 / 100</f>
        <v>0</v>
      </c>
      <c r="F1231">
        <f>IF(F1230 &lt; 7, F1230 +1,1)</f>
        <v>5</v>
      </c>
      <c r="G1231" t="str">
        <f t="shared" si="19"/>
        <v/>
      </c>
    </row>
    <row r="1232" spans="1:7">
      <c r="A1232" s="1">
        <v>49871</v>
      </c>
      <c r="B1232" t="s">
        <v>34</v>
      </c>
      <c r="C1232">
        <v>12.6</v>
      </c>
      <c r="D1232">
        <v>0.6</v>
      </c>
      <c r="E1232" s="2">
        <f>C1232*D1232 / 100</f>
        <v>7.5600000000000001E-2</v>
      </c>
      <c r="F1232">
        <f>IF(F1231 &lt; 7, F1231 +1,1)</f>
        <v>6</v>
      </c>
      <c r="G1232" t="str">
        <f t="shared" si="19"/>
        <v/>
      </c>
    </row>
    <row r="1233" spans="1:7">
      <c r="A1233" s="1">
        <v>49872</v>
      </c>
      <c r="B1233" t="s">
        <v>36</v>
      </c>
      <c r="C1233">
        <v>27.3</v>
      </c>
      <c r="D1233">
        <v>0</v>
      </c>
      <c r="E1233" s="2">
        <f>C1233*D1233 / 100</f>
        <v>0</v>
      </c>
      <c r="F1233">
        <f>IF(F1232 &lt; 7, F1232 +1,1)</f>
        <v>7</v>
      </c>
      <c r="G1233">
        <f t="shared" si="19"/>
        <v>150</v>
      </c>
    </row>
    <row r="1234" spans="1:7">
      <c r="A1234" s="1">
        <v>49873</v>
      </c>
      <c r="B1234" t="s">
        <v>22</v>
      </c>
      <c r="C1234">
        <v>14.4</v>
      </c>
      <c r="D1234">
        <v>2</v>
      </c>
      <c r="E1234" s="2">
        <f>C1234*D1234 / 100</f>
        <v>0.28800000000000003</v>
      </c>
      <c r="F1234">
        <f>IF(F1233 &lt; 7, F1233 +1,1)</f>
        <v>1</v>
      </c>
      <c r="G1234" t="str">
        <f t="shared" si="19"/>
        <v/>
      </c>
    </row>
    <row r="1235" spans="1:7">
      <c r="A1235" s="1">
        <v>49874</v>
      </c>
      <c r="B1235" t="s">
        <v>21</v>
      </c>
      <c r="C1235">
        <v>11.2</v>
      </c>
      <c r="D1235">
        <v>32.6</v>
      </c>
      <c r="E1235" s="2">
        <f>C1235*D1235 / 100</f>
        <v>3.6512000000000002</v>
      </c>
      <c r="F1235">
        <f>IF(F1234 &lt; 7, F1234 +1,1)</f>
        <v>2</v>
      </c>
      <c r="G1235" t="str">
        <f t="shared" si="19"/>
        <v/>
      </c>
    </row>
    <row r="1236" spans="1:7">
      <c r="A1236" s="1">
        <v>49875</v>
      </c>
      <c r="B1236" t="s">
        <v>36</v>
      </c>
      <c r="C1236">
        <v>11.4</v>
      </c>
      <c r="D1236">
        <v>5.5</v>
      </c>
      <c r="E1236" s="2">
        <f>C1236*D1236 / 100</f>
        <v>0.627</v>
      </c>
      <c r="F1236">
        <f>IF(F1235 &lt; 7, F1235 +1,1)</f>
        <v>3</v>
      </c>
      <c r="G1236" t="str">
        <f t="shared" si="19"/>
        <v/>
      </c>
    </row>
    <row r="1237" spans="1:7">
      <c r="A1237" s="1">
        <v>49876</v>
      </c>
      <c r="B1237" t="s">
        <v>11</v>
      </c>
      <c r="C1237">
        <v>22.9</v>
      </c>
      <c r="D1237">
        <v>0</v>
      </c>
      <c r="E1237" s="2">
        <f>C1237*D1237 / 100</f>
        <v>0</v>
      </c>
      <c r="F1237">
        <f>IF(F1236 &lt; 7, F1236 +1,1)</f>
        <v>4</v>
      </c>
      <c r="G1237" t="str">
        <f t="shared" si="19"/>
        <v/>
      </c>
    </row>
    <row r="1238" spans="1:7">
      <c r="A1238" s="1">
        <v>49877</v>
      </c>
      <c r="B1238" t="s">
        <v>16</v>
      </c>
      <c r="C1238">
        <v>14.3</v>
      </c>
      <c r="D1238">
        <v>13.2</v>
      </c>
      <c r="E1238" s="2">
        <f>C1238*D1238 / 100</f>
        <v>1.8875999999999999</v>
      </c>
      <c r="F1238">
        <f>IF(F1237 &lt; 7, F1237 +1,1)</f>
        <v>5</v>
      </c>
      <c r="G1238" t="str">
        <f t="shared" si="19"/>
        <v/>
      </c>
    </row>
    <row r="1239" spans="1:7">
      <c r="A1239" s="1">
        <v>49878</v>
      </c>
      <c r="B1239" t="s">
        <v>21</v>
      </c>
      <c r="C1239">
        <v>22.9</v>
      </c>
      <c r="D1239">
        <v>22.9</v>
      </c>
      <c r="E1239" s="2">
        <f>C1239*D1239 / 100</f>
        <v>5.2440999999999995</v>
      </c>
      <c r="F1239">
        <f>IF(F1238 &lt; 7, F1238 +1,1)</f>
        <v>6</v>
      </c>
      <c r="G1239" t="str">
        <f t="shared" si="19"/>
        <v/>
      </c>
    </row>
    <row r="1240" spans="1:7">
      <c r="A1240" s="1">
        <v>49879</v>
      </c>
      <c r="B1240" t="s">
        <v>9</v>
      </c>
      <c r="C1240">
        <v>11.8</v>
      </c>
      <c r="D1240">
        <v>0</v>
      </c>
      <c r="E1240" s="2">
        <f>C1240*D1240 / 100</f>
        <v>0</v>
      </c>
      <c r="F1240">
        <f>IF(F1239 &lt; 7, F1239 +1,1)</f>
        <v>7</v>
      </c>
      <c r="G1240">
        <f t="shared" si="19"/>
        <v>108.89999999999999</v>
      </c>
    </row>
    <row r="1241" spans="1:7">
      <c r="A1241" s="1">
        <v>49880</v>
      </c>
      <c r="B1241" t="s">
        <v>29</v>
      </c>
      <c r="C1241">
        <v>24.5</v>
      </c>
      <c r="D1241">
        <v>0</v>
      </c>
      <c r="E1241" s="2">
        <f>C1241*D1241 / 100</f>
        <v>0</v>
      </c>
      <c r="F1241">
        <f>IF(F1240 &lt; 7, F1240 +1,1)</f>
        <v>1</v>
      </c>
      <c r="G1241" t="str">
        <f t="shared" si="19"/>
        <v/>
      </c>
    </row>
    <row r="1242" spans="1:7">
      <c r="A1242" s="1">
        <v>49881</v>
      </c>
      <c r="B1242" t="s">
        <v>33</v>
      </c>
      <c r="C1242">
        <v>25.5</v>
      </c>
      <c r="D1242">
        <v>19.3</v>
      </c>
      <c r="E1242" s="2">
        <f>C1242*D1242 / 100</f>
        <v>4.9215</v>
      </c>
      <c r="F1242">
        <f>IF(F1241 &lt; 7, F1241 +1,1)</f>
        <v>2</v>
      </c>
      <c r="G1242" t="str">
        <f t="shared" si="19"/>
        <v/>
      </c>
    </row>
    <row r="1243" spans="1:7">
      <c r="A1243" s="1">
        <v>49882</v>
      </c>
      <c r="B1243" t="s">
        <v>36</v>
      </c>
      <c r="C1243">
        <v>14.7</v>
      </c>
      <c r="D1243">
        <v>18.3</v>
      </c>
      <c r="E1243" s="2">
        <f>C1243*D1243 / 100</f>
        <v>2.6900999999999997</v>
      </c>
      <c r="F1243">
        <f>IF(F1242 &lt; 7, F1242 +1,1)</f>
        <v>3</v>
      </c>
      <c r="G1243" t="str">
        <f t="shared" si="19"/>
        <v/>
      </c>
    </row>
    <row r="1244" spans="1:7">
      <c r="A1244" s="1">
        <v>49883</v>
      </c>
      <c r="B1244" t="s">
        <v>33</v>
      </c>
      <c r="C1244">
        <v>28.7</v>
      </c>
      <c r="D1244">
        <v>0</v>
      </c>
      <c r="E1244" s="2">
        <f>C1244*D1244 / 100</f>
        <v>0</v>
      </c>
      <c r="F1244">
        <f>IF(F1243 &lt; 7, F1243 +1,1)</f>
        <v>4</v>
      </c>
      <c r="G1244" t="str">
        <f t="shared" si="19"/>
        <v/>
      </c>
    </row>
    <row r="1245" spans="1:7">
      <c r="A1245" s="1">
        <v>49884</v>
      </c>
      <c r="B1245" t="s">
        <v>21</v>
      </c>
      <c r="C1245">
        <v>16.7</v>
      </c>
      <c r="D1245">
        <v>0</v>
      </c>
      <c r="E1245" s="2">
        <f>C1245*D1245 / 100</f>
        <v>0</v>
      </c>
      <c r="F1245">
        <f>IF(F1244 &lt; 7, F1244 +1,1)</f>
        <v>5</v>
      </c>
      <c r="G1245" t="str">
        <f t="shared" si="19"/>
        <v/>
      </c>
    </row>
    <row r="1246" spans="1:7">
      <c r="A1246" s="1">
        <v>49885</v>
      </c>
      <c r="B1246" t="s">
        <v>33</v>
      </c>
      <c r="C1246">
        <v>17.399999999999999</v>
      </c>
      <c r="D1246">
        <v>13.7</v>
      </c>
      <c r="E1246" s="2">
        <f>C1246*D1246 / 100</f>
        <v>2.3837999999999995</v>
      </c>
      <c r="F1246">
        <f>IF(F1245 &lt; 7, F1245 +1,1)</f>
        <v>6</v>
      </c>
      <c r="G1246" t="str">
        <f t="shared" si="19"/>
        <v/>
      </c>
    </row>
    <row r="1247" spans="1:7">
      <c r="A1247" s="1">
        <v>49886</v>
      </c>
      <c r="B1247" t="s">
        <v>21</v>
      </c>
      <c r="C1247">
        <v>15.6</v>
      </c>
      <c r="D1247">
        <v>0</v>
      </c>
      <c r="E1247" s="2">
        <f>C1247*D1247 / 100</f>
        <v>0</v>
      </c>
      <c r="F1247">
        <f>IF(F1246 &lt; 7, F1246 +1,1)</f>
        <v>7</v>
      </c>
      <c r="G1247">
        <f t="shared" si="19"/>
        <v>143.1</v>
      </c>
    </row>
    <row r="1248" spans="1:7">
      <c r="A1248" s="1">
        <v>49887</v>
      </c>
      <c r="B1248" t="s">
        <v>36</v>
      </c>
      <c r="C1248">
        <v>21.7</v>
      </c>
      <c r="D1248">
        <v>0</v>
      </c>
      <c r="E1248" s="2">
        <f>C1248*D1248 / 100</f>
        <v>0</v>
      </c>
      <c r="F1248">
        <f>IF(F1247 &lt; 7, F1247 +1,1)</f>
        <v>1</v>
      </c>
      <c r="G1248" t="str">
        <f t="shared" si="19"/>
        <v/>
      </c>
    </row>
    <row r="1249" spans="1:7">
      <c r="A1249" s="1">
        <v>49888</v>
      </c>
      <c r="B1249" t="s">
        <v>16</v>
      </c>
      <c r="C1249">
        <v>26</v>
      </c>
      <c r="D1249">
        <v>0</v>
      </c>
      <c r="E1249" s="2">
        <f>C1249*D1249 / 100</f>
        <v>0</v>
      </c>
      <c r="F1249">
        <f>IF(F1248 &lt; 7, F1248 +1,1)</f>
        <v>2</v>
      </c>
      <c r="G1249" t="str">
        <f t="shared" si="19"/>
        <v/>
      </c>
    </row>
    <row r="1250" spans="1:7">
      <c r="A1250" s="1">
        <v>49889</v>
      </c>
      <c r="B1250" t="s">
        <v>24</v>
      </c>
      <c r="C1250">
        <v>24.5</v>
      </c>
      <c r="D1250">
        <v>9</v>
      </c>
      <c r="E1250" s="2">
        <f>C1250*D1250 / 100</f>
        <v>2.2050000000000001</v>
      </c>
      <c r="F1250">
        <f>IF(F1249 &lt; 7, F1249 +1,1)</f>
        <v>3</v>
      </c>
      <c r="G1250" t="str">
        <f t="shared" si="19"/>
        <v/>
      </c>
    </row>
    <row r="1251" spans="1:7">
      <c r="A1251" s="1">
        <v>49890</v>
      </c>
      <c r="B1251" t="s">
        <v>23</v>
      </c>
      <c r="C1251">
        <v>23.2</v>
      </c>
      <c r="D1251">
        <v>0</v>
      </c>
      <c r="E1251" s="2">
        <f>C1251*D1251 / 100</f>
        <v>0</v>
      </c>
      <c r="F1251">
        <f>IF(F1250 &lt; 7, F1250 +1,1)</f>
        <v>4</v>
      </c>
      <c r="G1251" t="str">
        <f t="shared" si="19"/>
        <v/>
      </c>
    </row>
    <row r="1252" spans="1:7">
      <c r="A1252" s="1">
        <v>49891</v>
      </c>
      <c r="B1252" t="s">
        <v>13</v>
      </c>
      <c r="C1252">
        <v>17.600000000000001</v>
      </c>
      <c r="D1252">
        <v>0.8</v>
      </c>
      <c r="E1252" s="2">
        <f>C1252*D1252 / 100</f>
        <v>0.14080000000000001</v>
      </c>
      <c r="F1252">
        <f>IF(F1251 &lt; 7, F1251 +1,1)</f>
        <v>5</v>
      </c>
      <c r="G1252" t="str">
        <f t="shared" si="19"/>
        <v/>
      </c>
    </row>
    <row r="1253" spans="1:7">
      <c r="A1253" s="1">
        <v>49892</v>
      </c>
      <c r="B1253" t="s">
        <v>16</v>
      </c>
      <c r="C1253">
        <v>13.9</v>
      </c>
      <c r="D1253">
        <v>8.8000000000000007</v>
      </c>
      <c r="E1253" s="2">
        <f>C1253*D1253 / 100</f>
        <v>1.2232000000000001</v>
      </c>
      <c r="F1253">
        <f>IF(F1252 &lt; 7, F1252 +1,1)</f>
        <v>6</v>
      </c>
      <c r="G1253" t="str">
        <f t="shared" si="19"/>
        <v/>
      </c>
    </row>
    <row r="1254" spans="1:7">
      <c r="A1254" s="1">
        <v>49893</v>
      </c>
      <c r="B1254" t="s">
        <v>14</v>
      </c>
      <c r="C1254">
        <v>20.7</v>
      </c>
      <c r="D1254">
        <v>4.3</v>
      </c>
      <c r="E1254" s="2">
        <f>C1254*D1254 / 100</f>
        <v>0.89009999999999989</v>
      </c>
      <c r="F1254">
        <f>IF(F1253 &lt; 7, F1253 +1,1)</f>
        <v>7</v>
      </c>
      <c r="G1254">
        <f t="shared" si="19"/>
        <v>147.6</v>
      </c>
    </row>
    <row r="1255" spans="1:7">
      <c r="A1255" s="1">
        <v>49894</v>
      </c>
      <c r="B1255" t="s">
        <v>10</v>
      </c>
      <c r="C1255">
        <v>10.1</v>
      </c>
      <c r="D1255">
        <v>1.7</v>
      </c>
      <c r="E1255" s="2">
        <f>C1255*D1255 / 100</f>
        <v>0.17169999999999999</v>
      </c>
      <c r="F1255">
        <f>IF(F1254 &lt; 7, F1254 +1,1)</f>
        <v>1</v>
      </c>
      <c r="G1255" t="str">
        <f t="shared" si="19"/>
        <v/>
      </c>
    </row>
    <row r="1256" spans="1:7">
      <c r="A1256" s="1">
        <v>49895</v>
      </c>
      <c r="B1256" t="s">
        <v>16</v>
      </c>
      <c r="C1256">
        <v>26.2</v>
      </c>
      <c r="D1256">
        <v>22.7</v>
      </c>
      <c r="E1256" s="2">
        <f>C1256*D1256 / 100</f>
        <v>5.9474</v>
      </c>
      <c r="F1256">
        <f>IF(F1255 &lt; 7, F1255 +1,1)</f>
        <v>2</v>
      </c>
      <c r="G1256" t="str">
        <f t="shared" si="19"/>
        <v/>
      </c>
    </row>
    <row r="1257" spans="1:7">
      <c r="A1257" s="1">
        <v>49896</v>
      </c>
      <c r="B1257" t="s">
        <v>36</v>
      </c>
      <c r="C1257">
        <v>27.6</v>
      </c>
      <c r="D1257">
        <v>13.8</v>
      </c>
      <c r="E1257" s="2">
        <f>C1257*D1257 / 100</f>
        <v>3.8088000000000006</v>
      </c>
      <c r="F1257">
        <f>IF(F1256 &lt; 7, F1256 +1,1)</f>
        <v>3</v>
      </c>
      <c r="G1257" t="str">
        <f t="shared" si="19"/>
        <v/>
      </c>
    </row>
    <row r="1258" spans="1:7">
      <c r="A1258" s="1">
        <v>49897</v>
      </c>
      <c r="B1258" t="s">
        <v>30</v>
      </c>
      <c r="C1258">
        <v>20.6</v>
      </c>
      <c r="D1258">
        <v>4.7</v>
      </c>
      <c r="E1258" s="2">
        <f>C1258*D1258 / 100</f>
        <v>0.96820000000000006</v>
      </c>
      <c r="F1258">
        <f>IF(F1257 &lt; 7, F1257 +1,1)</f>
        <v>4</v>
      </c>
      <c r="G1258" t="str">
        <f t="shared" si="19"/>
        <v/>
      </c>
    </row>
    <row r="1259" spans="1:7">
      <c r="A1259" s="1">
        <v>49898</v>
      </c>
      <c r="B1259" t="s">
        <v>26</v>
      </c>
      <c r="C1259">
        <v>21.4</v>
      </c>
      <c r="D1259">
        <v>5</v>
      </c>
      <c r="E1259" s="2">
        <f>C1259*D1259 / 100</f>
        <v>1.07</v>
      </c>
      <c r="F1259">
        <f>IF(F1258 &lt; 7, F1258 +1,1)</f>
        <v>5</v>
      </c>
      <c r="G1259" t="str">
        <f t="shared" si="19"/>
        <v/>
      </c>
    </row>
    <row r="1260" spans="1:7">
      <c r="A1260" s="1">
        <v>49899</v>
      </c>
      <c r="B1260" t="s">
        <v>30</v>
      </c>
      <c r="C1260">
        <v>17.100000000000001</v>
      </c>
      <c r="D1260">
        <v>0</v>
      </c>
      <c r="E1260" s="2">
        <f>C1260*D1260 / 100</f>
        <v>0</v>
      </c>
      <c r="F1260">
        <f>IF(F1259 &lt; 7, F1259 +1,1)</f>
        <v>6</v>
      </c>
      <c r="G1260" t="str">
        <f t="shared" si="19"/>
        <v/>
      </c>
    </row>
    <row r="1261" spans="1:7">
      <c r="A1261" s="1">
        <v>49900</v>
      </c>
      <c r="B1261" t="s">
        <v>21</v>
      </c>
      <c r="C1261">
        <v>19.5</v>
      </c>
      <c r="D1261">
        <v>20.5</v>
      </c>
      <c r="E1261" s="2">
        <f>C1261*D1261 / 100</f>
        <v>3.9975000000000001</v>
      </c>
      <c r="F1261">
        <f>IF(F1260 &lt; 7, F1260 +1,1)</f>
        <v>7</v>
      </c>
      <c r="G1261">
        <f t="shared" si="19"/>
        <v>142.5</v>
      </c>
    </row>
    <row r="1262" spans="1:7">
      <c r="A1262" s="1">
        <v>49901</v>
      </c>
      <c r="B1262" t="s">
        <v>19</v>
      </c>
      <c r="C1262">
        <v>15.9</v>
      </c>
      <c r="D1262">
        <v>0</v>
      </c>
      <c r="E1262" s="2">
        <f>C1262*D1262 / 100</f>
        <v>0</v>
      </c>
      <c r="F1262">
        <f>IF(F1261 &lt; 7, F1261 +1,1)</f>
        <v>1</v>
      </c>
      <c r="G1262" t="str">
        <f t="shared" si="19"/>
        <v/>
      </c>
    </row>
    <row r="1263" spans="1:7">
      <c r="A1263" s="1">
        <v>49902</v>
      </c>
      <c r="B1263" t="s">
        <v>21</v>
      </c>
      <c r="C1263">
        <v>21.1</v>
      </c>
      <c r="D1263">
        <v>46.8</v>
      </c>
      <c r="E1263" s="2">
        <f>C1263*D1263 / 100</f>
        <v>9.8748000000000005</v>
      </c>
      <c r="F1263">
        <f>IF(F1262 &lt; 7, F1262 +1,1)</f>
        <v>2</v>
      </c>
      <c r="G1263" t="str">
        <f t="shared" si="19"/>
        <v/>
      </c>
    </row>
    <row r="1264" spans="1:7">
      <c r="A1264" s="1">
        <v>49903</v>
      </c>
      <c r="B1264" t="s">
        <v>36</v>
      </c>
      <c r="C1264">
        <v>20.2</v>
      </c>
      <c r="D1264">
        <v>36.6</v>
      </c>
      <c r="E1264" s="2">
        <f>C1264*D1264 / 100</f>
        <v>7.3932000000000002</v>
      </c>
      <c r="F1264">
        <f>IF(F1263 &lt; 7, F1263 +1,1)</f>
        <v>3</v>
      </c>
      <c r="G1264" t="str">
        <f t="shared" si="19"/>
        <v/>
      </c>
    </row>
    <row r="1265" spans="1:7">
      <c r="A1265" s="1">
        <v>49904</v>
      </c>
      <c r="B1265" t="s">
        <v>34</v>
      </c>
      <c r="C1265">
        <v>25</v>
      </c>
      <c r="D1265">
        <v>7.8</v>
      </c>
      <c r="E1265" s="2">
        <f>C1265*D1265 / 100</f>
        <v>1.95</v>
      </c>
      <c r="F1265">
        <f>IF(F1264 &lt; 7, F1264 +1,1)</f>
        <v>4</v>
      </c>
      <c r="G1265" t="str">
        <f t="shared" si="19"/>
        <v/>
      </c>
    </row>
    <row r="1266" spans="1:7">
      <c r="A1266" s="1">
        <v>49905</v>
      </c>
      <c r="B1266" t="s">
        <v>21</v>
      </c>
      <c r="C1266">
        <v>22.1</v>
      </c>
      <c r="D1266">
        <v>8.8000000000000007</v>
      </c>
      <c r="E1266" s="2">
        <f>C1266*D1266 / 100</f>
        <v>1.9448000000000001</v>
      </c>
      <c r="F1266">
        <f>IF(F1265 &lt; 7, F1265 +1,1)</f>
        <v>5</v>
      </c>
      <c r="G1266" t="str">
        <f t="shared" si="19"/>
        <v/>
      </c>
    </row>
    <row r="1267" spans="1:7">
      <c r="A1267" s="1">
        <v>49906</v>
      </c>
      <c r="B1267" t="s">
        <v>32</v>
      </c>
      <c r="C1267">
        <v>28.9</v>
      </c>
      <c r="D1267">
        <v>0.5</v>
      </c>
      <c r="E1267" s="2">
        <f>C1267*D1267 / 100</f>
        <v>0.14449999999999999</v>
      </c>
      <c r="F1267">
        <f>IF(F1266 &lt; 7, F1266 +1,1)</f>
        <v>6</v>
      </c>
      <c r="G1267" t="str">
        <f t="shared" si="19"/>
        <v/>
      </c>
    </row>
    <row r="1268" spans="1:7">
      <c r="A1268" s="1">
        <v>49907</v>
      </c>
      <c r="B1268" t="s">
        <v>9</v>
      </c>
      <c r="C1268">
        <v>19.600000000000001</v>
      </c>
      <c r="D1268">
        <v>0</v>
      </c>
      <c r="E1268" s="2">
        <f>C1268*D1268 / 100</f>
        <v>0</v>
      </c>
      <c r="F1268">
        <f>IF(F1267 &lt; 7, F1267 +1,1)</f>
        <v>7</v>
      </c>
      <c r="G1268">
        <f t="shared" si="19"/>
        <v>152.80000000000001</v>
      </c>
    </row>
    <row r="1269" spans="1:7">
      <c r="A1269" s="1">
        <v>49908</v>
      </c>
      <c r="B1269" t="s">
        <v>16</v>
      </c>
      <c r="C1269">
        <v>18</v>
      </c>
      <c r="D1269">
        <v>13.2</v>
      </c>
      <c r="E1269" s="2">
        <f>C1269*D1269 / 100</f>
        <v>2.3759999999999999</v>
      </c>
      <c r="F1269">
        <f>IF(F1268 &lt; 7, F1268 +1,1)</f>
        <v>1</v>
      </c>
      <c r="G1269" t="str">
        <f t="shared" si="19"/>
        <v/>
      </c>
    </row>
    <row r="1270" spans="1:7">
      <c r="A1270" s="1">
        <v>49909</v>
      </c>
      <c r="B1270" t="s">
        <v>34</v>
      </c>
      <c r="C1270">
        <v>28.3</v>
      </c>
      <c r="D1270">
        <v>0</v>
      </c>
      <c r="E1270" s="2">
        <f>C1270*D1270 / 100</f>
        <v>0</v>
      </c>
      <c r="F1270">
        <f>IF(F1269 &lt; 7, F1269 +1,1)</f>
        <v>2</v>
      </c>
      <c r="G1270" t="str">
        <f t="shared" si="19"/>
        <v/>
      </c>
    </row>
    <row r="1271" spans="1:7">
      <c r="A1271" s="1">
        <v>49910</v>
      </c>
      <c r="B1271" t="s">
        <v>30</v>
      </c>
      <c r="C1271">
        <v>25.2</v>
      </c>
      <c r="D1271">
        <v>0</v>
      </c>
      <c r="E1271" s="2">
        <f>C1271*D1271 / 100</f>
        <v>0</v>
      </c>
      <c r="F1271">
        <f>IF(F1270 &lt; 7, F1270 +1,1)</f>
        <v>3</v>
      </c>
      <c r="G1271" t="str">
        <f t="shared" si="19"/>
        <v/>
      </c>
    </row>
    <row r="1272" spans="1:7">
      <c r="A1272" s="1">
        <v>49911</v>
      </c>
      <c r="B1272" t="s">
        <v>21</v>
      </c>
      <c r="C1272">
        <v>22.5</v>
      </c>
      <c r="D1272">
        <v>0</v>
      </c>
      <c r="E1272" s="2">
        <f>C1272*D1272 / 100</f>
        <v>0</v>
      </c>
      <c r="F1272">
        <f>IF(F1271 &lt; 7, F1271 +1,1)</f>
        <v>4</v>
      </c>
      <c r="G1272" t="str">
        <f t="shared" si="19"/>
        <v/>
      </c>
    </row>
    <row r="1273" spans="1:7">
      <c r="A1273" s="1">
        <v>49912</v>
      </c>
      <c r="B1273" t="s">
        <v>19</v>
      </c>
      <c r="C1273">
        <v>19.899999999999999</v>
      </c>
      <c r="D1273">
        <v>6.7</v>
      </c>
      <c r="E1273" s="2">
        <f>C1273*D1273 / 100</f>
        <v>1.3332999999999999</v>
      </c>
      <c r="F1273">
        <f>IF(F1272 &lt; 7, F1272 +1,1)</f>
        <v>5</v>
      </c>
      <c r="G1273" t="str">
        <f t="shared" si="19"/>
        <v/>
      </c>
    </row>
    <row r="1274" spans="1:7">
      <c r="A1274" s="1">
        <v>49913</v>
      </c>
      <c r="B1274" t="s">
        <v>9</v>
      </c>
      <c r="C1274">
        <v>10.8</v>
      </c>
      <c r="D1274">
        <v>19.600000000000001</v>
      </c>
      <c r="E1274" s="2">
        <f>C1274*D1274 / 100</f>
        <v>2.1168000000000005</v>
      </c>
      <c r="F1274">
        <f>IF(F1273 &lt; 7, F1273 +1,1)</f>
        <v>6</v>
      </c>
      <c r="G1274" t="str">
        <f t="shared" si="19"/>
        <v/>
      </c>
    </row>
    <row r="1275" spans="1:7">
      <c r="A1275" s="1">
        <v>49914</v>
      </c>
      <c r="B1275" t="s">
        <v>36</v>
      </c>
      <c r="C1275">
        <v>18.399999999999999</v>
      </c>
      <c r="D1275">
        <v>0.6</v>
      </c>
      <c r="E1275" s="2">
        <f>C1275*D1275 / 100</f>
        <v>0.1104</v>
      </c>
      <c r="F1275">
        <f>IF(F1274 &lt; 7, F1274 +1,1)</f>
        <v>7</v>
      </c>
      <c r="G1275">
        <f t="shared" si="19"/>
        <v>143.1</v>
      </c>
    </row>
    <row r="1276" spans="1:7">
      <c r="A1276" s="1">
        <v>49915</v>
      </c>
      <c r="B1276" t="s">
        <v>12</v>
      </c>
      <c r="C1276">
        <v>27.6</v>
      </c>
      <c r="D1276">
        <v>3.7</v>
      </c>
      <c r="E1276" s="2">
        <f>C1276*D1276 / 100</f>
        <v>1.0212000000000001</v>
      </c>
      <c r="F1276">
        <f>IF(F1275 &lt; 7, F1275 +1,1)</f>
        <v>1</v>
      </c>
      <c r="G1276" t="str">
        <f t="shared" si="19"/>
        <v/>
      </c>
    </row>
    <row r="1277" spans="1:7">
      <c r="A1277" s="1">
        <v>49916</v>
      </c>
      <c r="B1277" t="s">
        <v>12</v>
      </c>
      <c r="C1277">
        <v>11.3</v>
      </c>
      <c r="D1277">
        <v>1.9</v>
      </c>
      <c r="E1277" s="2">
        <f>C1277*D1277 / 100</f>
        <v>0.2147</v>
      </c>
      <c r="F1277">
        <f>IF(F1276 &lt; 7, F1276 +1,1)</f>
        <v>2</v>
      </c>
      <c r="G1277" t="str">
        <f t="shared" si="19"/>
        <v/>
      </c>
    </row>
    <row r="1278" spans="1:7">
      <c r="A1278" s="1">
        <v>49917</v>
      </c>
      <c r="B1278" t="s">
        <v>12</v>
      </c>
      <c r="C1278">
        <v>28.7</v>
      </c>
      <c r="D1278">
        <v>0</v>
      </c>
      <c r="E1278" s="2">
        <f>C1278*D1278 / 100</f>
        <v>0</v>
      </c>
      <c r="F1278">
        <f>IF(F1277 &lt; 7, F1277 +1,1)</f>
        <v>3</v>
      </c>
      <c r="G1278" t="str">
        <f t="shared" si="19"/>
        <v/>
      </c>
    </row>
    <row r="1279" spans="1:7">
      <c r="A1279" s="1">
        <v>49918</v>
      </c>
      <c r="B1279" t="s">
        <v>28</v>
      </c>
      <c r="C1279">
        <v>15</v>
      </c>
      <c r="D1279">
        <v>1.7</v>
      </c>
      <c r="E1279" s="2">
        <f>C1279*D1279 / 100</f>
        <v>0.255</v>
      </c>
      <c r="F1279">
        <f>IF(F1278 &lt; 7, F1278 +1,1)</f>
        <v>4</v>
      </c>
      <c r="G1279" t="str">
        <f t="shared" si="19"/>
        <v/>
      </c>
    </row>
    <row r="1280" spans="1:7">
      <c r="A1280" s="1">
        <v>49919</v>
      </c>
      <c r="B1280" t="s">
        <v>16</v>
      </c>
      <c r="C1280">
        <v>15.1</v>
      </c>
      <c r="D1280">
        <v>13.5</v>
      </c>
      <c r="E1280" s="2">
        <f>C1280*D1280 / 100</f>
        <v>2.0385</v>
      </c>
      <c r="F1280">
        <f>IF(F1279 &lt; 7, F1279 +1,1)</f>
        <v>5</v>
      </c>
      <c r="G1280" t="str">
        <f t="shared" si="19"/>
        <v/>
      </c>
    </row>
    <row r="1281" spans="1:7">
      <c r="A1281" s="1">
        <v>49920</v>
      </c>
      <c r="B1281" t="s">
        <v>36</v>
      </c>
      <c r="C1281">
        <v>19.399999999999999</v>
      </c>
      <c r="D1281">
        <v>29.6</v>
      </c>
      <c r="E1281" s="2">
        <f>C1281*D1281 / 100</f>
        <v>5.7423999999999999</v>
      </c>
      <c r="F1281">
        <f>IF(F1280 &lt; 7, F1280 +1,1)</f>
        <v>6</v>
      </c>
      <c r="G1281" t="str">
        <f t="shared" si="19"/>
        <v/>
      </c>
    </row>
    <row r="1282" spans="1:7">
      <c r="A1282" s="1">
        <v>49921</v>
      </c>
      <c r="B1282" t="s">
        <v>16</v>
      </c>
      <c r="C1282">
        <v>21.9</v>
      </c>
      <c r="D1282">
        <v>1.6</v>
      </c>
      <c r="E1282" s="2">
        <f>C1282*D1282 / 100</f>
        <v>0.35039999999999999</v>
      </c>
      <c r="F1282">
        <f>IF(F1281 &lt; 7, F1281 +1,1)</f>
        <v>7</v>
      </c>
      <c r="G1282">
        <f t="shared" si="19"/>
        <v>139</v>
      </c>
    </row>
    <row r="1283" spans="1:7">
      <c r="A1283" s="1">
        <v>49922</v>
      </c>
      <c r="B1283" t="s">
        <v>29</v>
      </c>
      <c r="C1283">
        <v>19.399999999999999</v>
      </c>
      <c r="D1283">
        <v>9.8000000000000007</v>
      </c>
      <c r="E1283" s="2">
        <f>C1283*D1283 / 100</f>
        <v>1.9012</v>
      </c>
      <c r="F1283">
        <f>IF(F1282 &lt; 7, F1282 +1,1)</f>
        <v>1</v>
      </c>
      <c r="G1283" t="str">
        <f t="shared" si="19"/>
        <v/>
      </c>
    </row>
    <row r="1284" spans="1:7">
      <c r="A1284" s="1">
        <v>49923</v>
      </c>
      <c r="B1284" t="s">
        <v>16</v>
      </c>
      <c r="C1284">
        <v>21.8</v>
      </c>
      <c r="D1284">
        <v>18.5</v>
      </c>
      <c r="E1284" s="2">
        <f>C1284*D1284 / 100</f>
        <v>4.0330000000000004</v>
      </c>
      <c r="F1284">
        <f>IF(F1283 &lt; 7, F1283 +1,1)</f>
        <v>2</v>
      </c>
      <c r="G1284" t="str">
        <f t="shared" si="19"/>
        <v/>
      </c>
    </row>
    <row r="1285" spans="1:7">
      <c r="A1285" s="1">
        <v>49924</v>
      </c>
      <c r="B1285" t="s">
        <v>23</v>
      </c>
      <c r="C1285">
        <v>29.3</v>
      </c>
      <c r="D1285">
        <v>2.8</v>
      </c>
      <c r="E1285" s="2">
        <f>C1285*D1285 / 100</f>
        <v>0.82039999999999991</v>
      </c>
      <c r="F1285">
        <f>IF(F1284 &lt; 7, F1284 +1,1)</f>
        <v>3</v>
      </c>
      <c r="G1285" t="str">
        <f t="shared" si="19"/>
        <v/>
      </c>
    </row>
    <row r="1286" spans="1:7">
      <c r="A1286" s="1">
        <v>49925</v>
      </c>
      <c r="B1286" t="s">
        <v>36</v>
      </c>
      <c r="C1286">
        <v>14.4</v>
      </c>
      <c r="D1286">
        <v>0</v>
      </c>
      <c r="E1286" s="2">
        <f>C1286*D1286 / 100</f>
        <v>0</v>
      </c>
      <c r="F1286">
        <f>IF(F1285 &lt; 7, F1285 +1,1)</f>
        <v>4</v>
      </c>
      <c r="G1286" t="str">
        <f t="shared" si="19"/>
        <v/>
      </c>
    </row>
    <row r="1287" spans="1:7">
      <c r="A1287" s="1">
        <v>49926</v>
      </c>
      <c r="B1287" t="s">
        <v>21</v>
      </c>
      <c r="C1287">
        <v>14.5</v>
      </c>
      <c r="D1287">
        <v>0</v>
      </c>
      <c r="E1287" s="2">
        <f>C1287*D1287 / 100</f>
        <v>0</v>
      </c>
      <c r="F1287">
        <f>IF(F1286 &lt; 7, F1286 +1,1)</f>
        <v>5</v>
      </c>
      <c r="G1287" t="str">
        <f t="shared" si="19"/>
        <v/>
      </c>
    </row>
    <row r="1288" spans="1:7">
      <c r="A1288" s="1">
        <v>49927</v>
      </c>
      <c r="B1288" t="s">
        <v>33</v>
      </c>
      <c r="C1288">
        <v>18.399999999999999</v>
      </c>
      <c r="D1288">
        <v>10.1</v>
      </c>
      <c r="E1288" s="2">
        <f>C1288*D1288 / 100</f>
        <v>1.8583999999999998</v>
      </c>
      <c r="F1288">
        <f>IF(F1287 &lt; 7, F1287 +1,1)</f>
        <v>6</v>
      </c>
      <c r="G1288" t="str">
        <f t="shared" si="19"/>
        <v/>
      </c>
    </row>
    <row r="1289" spans="1:7">
      <c r="A1289" s="1">
        <v>49928</v>
      </c>
      <c r="B1289" t="s">
        <v>29</v>
      </c>
      <c r="C1289">
        <v>29.8</v>
      </c>
      <c r="D1289">
        <v>0</v>
      </c>
      <c r="E1289" s="2">
        <f>C1289*D1289 / 100</f>
        <v>0</v>
      </c>
      <c r="F1289">
        <f>IF(F1288 &lt; 7, F1288 +1,1)</f>
        <v>7</v>
      </c>
      <c r="G1289">
        <f t="shared" ref="G1289:G1352" si="20">IF(F1289=7, SUM(C1283:C1289), "")</f>
        <v>147.60000000000002</v>
      </c>
    </row>
    <row r="1290" spans="1:7">
      <c r="A1290" s="1">
        <v>49929</v>
      </c>
      <c r="B1290" t="s">
        <v>16</v>
      </c>
      <c r="C1290">
        <v>27.3</v>
      </c>
      <c r="D1290">
        <v>18.600000000000001</v>
      </c>
      <c r="E1290" s="2">
        <f>C1290*D1290 / 100</f>
        <v>5.0777999999999999</v>
      </c>
      <c r="F1290">
        <f>IF(F1289 &lt; 7, F1289 +1,1)</f>
        <v>1</v>
      </c>
      <c r="G1290" t="str">
        <f t="shared" si="20"/>
        <v/>
      </c>
    </row>
    <row r="1291" spans="1:7">
      <c r="A1291" s="1">
        <v>49930</v>
      </c>
      <c r="B1291" t="s">
        <v>26</v>
      </c>
      <c r="C1291">
        <v>22.7</v>
      </c>
      <c r="D1291">
        <v>0</v>
      </c>
      <c r="E1291" s="2">
        <f>C1291*D1291 / 100</f>
        <v>0</v>
      </c>
      <c r="F1291">
        <f>IF(F1290 &lt; 7, F1290 +1,1)</f>
        <v>2</v>
      </c>
      <c r="G1291" t="str">
        <f t="shared" si="20"/>
        <v/>
      </c>
    </row>
    <row r="1292" spans="1:7">
      <c r="A1292" s="1">
        <v>49931</v>
      </c>
      <c r="B1292" t="s">
        <v>21</v>
      </c>
      <c r="C1292">
        <v>27.3</v>
      </c>
      <c r="D1292">
        <v>18.399999999999999</v>
      </c>
      <c r="E1292" s="2">
        <f>C1292*D1292 / 100</f>
        <v>5.0232000000000001</v>
      </c>
      <c r="F1292">
        <f>IF(F1291 &lt; 7, F1291 +1,1)</f>
        <v>3</v>
      </c>
      <c r="G1292" t="str">
        <f t="shared" si="20"/>
        <v/>
      </c>
    </row>
    <row r="1293" spans="1:7">
      <c r="A1293" s="1">
        <v>49932</v>
      </c>
      <c r="B1293" t="s">
        <v>29</v>
      </c>
      <c r="C1293">
        <v>12.9</v>
      </c>
      <c r="D1293">
        <v>0</v>
      </c>
      <c r="E1293" s="2">
        <f>C1293*D1293 / 100</f>
        <v>0</v>
      </c>
      <c r="F1293">
        <f>IF(F1292 &lt; 7, F1292 +1,1)</f>
        <v>4</v>
      </c>
      <c r="G1293" t="str">
        <f t="shared" si="20"/>
        <v/>
      </c>
    </row>
    <row r="1294" spans="1:7">
      <c r="A1294" s="1">
        <v>49933</v>
      </c>
      <c r="B1294" t="s">
        <v>36</v>
      </c>
      <c r="C1294">
        <v>24.3</v>
      </c>
      <c r="D1294">
        <v>1.9</v>
      </c>
      <c r="E1294" s="2">
        <f>C1294*D1294 / 100</f>
        <v>0.4617</v>
      </c>
      <c r="F1294">
        <f>IF(F1293 &lt; 7, F1293 +1,1)</f>
        <v>5</v>
      </c>
      <c r="G1294" t="str">
        <f t="shared" si="20"/>
        <v/>
      </c>
    </row>
    <row r="1295" spans="1:7">
      <c r="A1295" s="1">
        <v>49934</v>
      </c>
      <c r="B1295" t="s">
        <v>29</v>
      </c>
      <c r="C1295">
        <v>20.6</v>
      </c>
      <c r="D1295">
        <v>14.6</v>
      </c>
      <c r="E1295" s="2">
        <f>C1295*D1295 / 100</f>
        <v>3.0076000000000001</v>
      </c>
      <c r="F1295">
        <f>IF(F1294 &lt; 7, F1294 +1,1)</f>
        <v>6</v>
      </c>
      <c r="G1295" t="str">
        <f t="shared" si="20"/>
        <v/>
      </c>
    </row>
    <row r="1296" spans="1:7">
      <c r="A1296" s="1">
        <v>49935</v>
      </c>
      <c r="B1296" t="s">
        <v>10</v>
      </c>
      <c r="C1296">
        <v>24.2</v>
      </c>
      <c r="D1296">
        <v>0</v>
      </c>
      <c r="E1296" s="2">
        <f>C1296*D1296 / 100</f>
        <v>0</v>
      </c>
      <c r="F1296">
        <f>IF(F1295 &lt; 7, F1295 +1,1)</f>
        <v>7</v>
      </c>
      <c r="G1296">
        <f t="shared" si="20"/>
        <v>159.29999999999998</v>
      </c>
    </row>
    <row r="1297" spans="1:7">
      <c r="A1297" s="1">
        <v>49936</v>
      </c>
      <c r="B1297" t="s">
        <v>21</v>
      </c>
      <c r="C1297">
        <v>15.2</v>
      </c>
      <c r="D1297">
        <v>0</v>
      </c>
      <c r="E1297" s="2">
        <f>C1297*D1297 / 100</f>
        <v>0</v>
      </c>
      <c r="F1297">
        <f>IF(F1296 &lt; 7, F1296 +1,1)</f>
        <v>1</v>
      </c>
      <c r="G1297" t="str">
        <f t="shared" si="20"/>
        <v/>
      </c>
    </row>
    <row r="1298" spans="1:7">
      <c r="A1298" s="1">
        <v>49937</v>
      </c>
      <c r="B1298" t="s">
        <v>35</v>
      </c>
      <c r="C1298">
        <v>27.3</v>
      </c>
      <c r="D1298">
        <v>2.5</v>
      </c>
      <c r="E1298" s="2">
        <f>C1298*D1298 / 100</f>
        <v>0.6825</v>
      </c>
      <c r="F1298">
        <f>IF(F1297 &lt; 7, F1297 +1,1)</f>
        <v>2</v>
      </c>
      <c r="G1298" t="str">
        <f t="shared" si="20"/>
        <v/>
      </c>
    </row>
    <row r="1299" spans="1:7">
      <c r="A1299" s="1">
        <v>49938</v>
      </c>
      <c r="B1299" t="s">
        <v>35</v>
      </c>
      <c r="C1299">
        <v>28</v>
      </c>
      <c r="D1299">
        <v>0</v>
      </c>
      <c r="E1299" s="2">
        <f>C1299*D1299 / 100</f>
        <v>0</v>
      </c>
      <c r="F1299">
        <f>IF(F1298 &lt; 7, F1298 +1,1)</f>
        <v>3</v>
      </c>
      <c r="G1299" t="str">
        <f t="shared" si="20"/>
        <v/>
      </c>
    </row>
    <row r="1300" spans="1:7">
      <c r="A1300" s="1">
        <v>49939</v>
      </c>
      <c r="B1300" t="s">
        <v>20</v>
      </c>
      <c r="C1300">
        <v>16.100000000000001</v>
      </c>
      <c r="D1300">
        <v>0</v>
      </c>
      <c r="E1300" s="2">
        <f>C1300*D1300 / 100</f>
        <v>0</v>
      </c>
      <c r="F1300">
        <f>IF(F1299 &lt; 7, F1299 +1,1)</f>
        <v>4</v>
      </c>
      <c r="G1300" t="str">
        <f t="shared" si="20"/>
        <v/>
      </c>
    </row>
    <row r="1301" spans="1:7">
      <c r="A1301" s="1">
        <v>49940</v>
      </c>
      <c r="B1301" t="s">
        <v>36</v>
      </c>
      <c r="C1301">
        <v>18.8</v>
      </c>
      <c r="D1301">
        <v>16.899999999999999</v>
      </c>
      <c r="E1301" s="2">
        <f>C1301*D1301 / 100</f>
        <v>3.1771999999999996</v>
      </c>
      <c r="F1301">
        <f>IF(F1300 &lt; 7, F1300 +1,1)</f>
        <v>5</v>
      </c>
      <c r="G1301" t="str">
        <f t="shared" si="20"/>
        <v/>
      </c>
    </row>
    <row r="1302" spans="1:7">
      <c r="A1302" s="1">
        <v>49941</v>
      </c>
      <c r="B1302" t="s">
        <v>21</v>
      </c>
      <c r="C1302">
        <v>13.2</v>
      </c>
      <c r="D1302">
        <v>10.4</v>
      </c>
      <c r="E1302" s="2">
        <f>C1302*D1302 / 100</f>
        <v>1.3728</v>
      </c>
      <c r="F1302">
        <f>IF(F1301 &lt; 7, F1301 +1,1)</f>
        <v>6</v>
      </c>
      <c r="G1302" t="str">
        <f t="shared" si="20"/>
        <v/>
      </c>
    </row>
    <row r="1303" spans="1:7">
      <c r="A1303" s="1">
        <v>49942</v>
      </c>
      <c r="B1303" t="s">
        <v>10</v>
      </c>
      <c r="C1303">
        <v>17.899999999999999</v>
      </c>
      <c r="D1303">
        <v>3.5</v>
      </c>
      <c r="E1303" s="2">
        <f>C1303*D1303 / 100</f>
        <v>0.62649999999999995</v>
      </c>
      <c r="F1303">
        <f>IF(F1302 &lt; 7, F1302 +1,1)</f>
        <v>7</v>
      </c>
      <c r="G1303">
        <f t="shared" si="20"/>
        <v>136.5</v>
      </c>
    </row>
    <row r="1304" spans="1:7">
      <c r="A1304" s="1">
        <v>49943</v>
      </c>
      <c r="B1304" t="s">
        <v>16</v>
      </c>
      <c r="C1304">
        <v>18.3</v>
      </c>
      <c r="D1304">
        <v>16.7</v>
      </c>
      <c r="E1304" s="2">
        <f>C1304*D1304 / 100</f>
        <v>3.0561000000000003</v>
      </c>
      <c r="F1304">
        <f>IF(F1303 &lt; 7, F1303 +1,1)</f>
        <v>1</v>
      </c>
      <c r="G1304" t="str">
        <f t="shared" si="20"/>
        <v/>
      </c>
    </row>
    <row r="1305" spans="1:7">
      <c r="A1305" s="1">
        <v>49944</v>
      </c>
      <c r="B1305" t="s">
        <v>23</v>
      </c>
      <c r="C1305">
        <v>25.7</v>
      </c>
      <c r="D1305">
        <v>2</v>
      </c>
      <c r="E1305" s="2">
        <f>C1305*D1305 / 100</f>
        <v>0.51400000000000001</v>
      </c>
      <c r="F1305">
        <f>IF(F1304 &lt; 7, F1304 +1,1)</f>
        <v>2</v>
      </c>
      <c r="G1305" t="str">
        <f t="shared" si="20"/>
        <v/>
      </c>
    </row>
    <row r="1306" spans="1:7">
      <c r="A1306" s="1">
        <v>49945</v>
      </c>
      <c r="B1306" t="s">
        <v>21</v>
      </c>
      <c r="C1306">
        <v>29.2</v>
      </c>
      <c r="D1306">
        <v>31.5</v>
      </c>
      <c r="E1306" s="2">
        <f>C1306*D1306 / 100</f>
        <v>9.1980000000000004</v>
      </c>
      <c r="F1306">
        <f>IF(F1305 &lt; 7, F1305 +1,1)</f>
        <v>3</v>
      </c>
      <c r="G1306" t="str">
        <f t="shared" si="20"/>
        <v/>
      </c>
    </row>
    <row r="1307" spans="1:7">
      <c r="A1307" s="1">
        <v>49946</v>
      </c>
      <c r="B1307" t="s">
        <v>16</v>
      </c>
      <c r="C1307">
        <v>21.5</v>
      </c>
      <c r="D1307">
        <v>0</v>
      </c>
      <c r="E1307" s="2">
        <f>C1307*D1307 / 100</f>
        <v>0</v>
      </c>
      <c r="F1307">
        <f>IF(F1306 &lt; 7, F1306 +1,1)</f>
        <v>4</v>
      </c>
      <c r="G1307" t="str">
        <f t="shared" si="20"/>
        <v/>
      </c>
    </row>
    <row r="1308" spans="1:7">
      <c r="A1308" s="1">
        <v>49947</v>
      </c>
      <c r="B1308" t="s">
        <v>9</v>
      </c>
      <c r="C1308">
        <v>29.5</v>
      </c>
      <c r="D1308">
        <v>12.2</v>
      </c>
      <c r="E1308" s="2">
        <f>C1308*D1308 / 100</f>
        <v>3.5989999999999998</v>
      </c>
      <c r="F1308">
        <f>IF(F1307 &lt; 7, F1307 +1,1)</f>
        <v>5</v>
      </c>
      <c r="G1308" t="str">
        <f t="shared" si="20"/>
        <v/>
      </c>
    </row>
    <row r="1309" spans="1:7">
      <c r="A1309" s="1">
        <v>49948</v>
      </c>
      <c r="B1309" t="s">
        <v>16</v>
      </c>
      <c r="C1309">
        <v>17.7</v>
      </c>
      <c r="D1309">
        <v>10.1</v>
      </c>
      <c r="E1309" s="2">
        <f>C1309*D1309 / 100</f>
        <v>1.7876999999999998</v>
      </c>
      <c r="F1309">
        <f>IF(F1308 &lt; 7, F1308 +1,1)</f>
        <v>6</v>
      </c>
      <c r="G1309" t="str">
        <f t="shared" si="20"/>
        <v/>
      </c>
    </row>
    <row r="1310" spans="1:7">
      <c r="A1310" s="1">
        <v>49949</v>
      </c>
      <c r="B1310" t="s">
        <v>36</v>
      </c>
      <c r="C1310">
        <v>26.7</v>
      </c>
      <c r="D1310">
        <v>1.2</v>
      </c>
      <c r="E1310" s="2">
        <f>C1310*D1310 / 100</f>
        <v>0.32040000000000002</v>
      </c>
      <c r="F1310">
        <f>IF(F1309 &lt; 7, F1309 +1,1)</f>
        <v>7</v>
      </c>
      <c r="G1310">
        <f t="shared" si="20"/>
        <v>168.6</v>
      </c>
    </row>
    <row r="1311" spans="1:7">
      <c r="A1311" s="1">
        <v>49950</v>
      </c>
      <c r="B1311" t="s">
        <v>21</v>
      </c>
      <c r="C1311">
        <v>13.3</v>
      </c>
      <c r="D1311">
        <v>0.5</v>
      </c>
      <c r="E1311" s="2">
        <f>C1311*D1311 / 100</f>
        <v>6.6500000000000004E-2</v>
      </c>
      <c r="F1311">
        <f>IF(F1310 &lt; 7, F1310 +1,1)</f>
        <v>1</v>
      </c>
      <c r="G1311" t="str">
        <f t="shared" si="20"/>
        <v/>
      </c>
    </row>
    <row r="1312" spans="1:7">
      <c r="A1312" s="1">
        <v>49951</v>
      </c>
      <c r="B1312" t="s">
        <v>16</v>
      </c>
      <c r="C1312">
        <v>13.4</v>
      </c>
      <c r="D1312">
        <v>23.4</v>
      </c>
      <c r="E1312" s="2">
        <f>C1312*D1312 / 100</f>
        <v>3.1356000000000002</v>
      </c>
      <c r="F1312">
        <f>IF(F1311 &lt; 7, F1311 +1,1)</f>
        <v>2</v>
      </c>
      <c r="G1312" t="str">
        <f t="shared" si="20"/>
        <v/>
      </c>
    </row>
    <row r="1313" spans="1:7">
      <c r="A1313" s="1">
        <v>49952</v>
      </c>
      <c r="B1313" t="s">
        <v>9</v>
      </c>
      <c r="C1313">
        <v>22.1</v>
      </c>
      <c r="D1313">
        <v>17.7</v>
      </c>
      <c r="E1313" s="2">
        <f>C1313*D1313 / 100</f>
        <v>3.9117000000000002</v>
      </c>
      <c r="F1313">
        <f>IF(F1312 &lt; 7, F1312 +1,1)</f>
        <v>3</v>
      </c>
      <c r="G1313" t="str">
        <f t="shared" si="20"/>
        <v/>
      </c>
    </row>
    <row r="1314" spans="1:7">
      <c r="A1314" s="1">
        <v>49953</v>
      </c>
      <c r="B1314" t="s">
        <v>24</v>
      </c>
      <c r="C1314">
        <v>11.4</v>
      </c>
      <c r="D1314">
        <v>0</v>
      </c>
      <c r="E1314" s="2">
        <f>C1314*D1314 / 100</f>
        <v>0</v>
      </c>
      <c r="F1314">
        <f>IF(F1313 &lt; 7, F1313 +1,1)</f>
        <v>4</v>
      </c>
      <c r="G1314" t="str">
        <f t="shared" si="20"/>
        <v/>
      </c>
    </row>
    <row r="1315" spans="1:7">
      <c r="A1315" s="1">
        <v>49954</v>
      </c>
      <c r="B1315" t="s">
        <v>33</v>
      </c>
      <c r="C1315">
        <v>26</v>
      </c>
      <c r="D1315">
        <v>4.9000000000000004</v>
      </c>
      <c r="E1315" s="2">
        <f>C1315*D1315 / 100</f>
        <v>1.274</v>
      </c>
      <c r="F1315">
        <f>IF(F1314 &lt; 7, F1314 +1,1)</f>
        <v>5</v>
      </c>
      <c r="G1315" t="str">
        <f t="shared" si="20"/>
        <v/>
      </c>
    </row>
    <row r="1316" spans="1:7">
      <c r="A1316" s="1">
        <v>49955</v>
      </c>
      <c r="B1316" t="s">
        <v>33</v>
      </c>
      <c r="C1316">
        <v>27.8</v>
      </c>
      <c r="D1316">
        <v>6.7</v>
      </c>
      <c r="E1316" s="2">
        <f>C1316*D1316 / 100</f>
        <v>1.8626000000000003</v>
      </c>
      <c r="F1316">
        <f>IF(F1315 &lt; 7, F1315 +1,1)</f>
        <v>6</v>
      </c>
      <c r="G1316" t="str">
        <f t="shared" si="20"/>
        <v/>
      </c>
    </row>
    <row r="1317" spans="1:7">
      <c r="A1317" s="1">
        <v>49956</v>
      </c>
      <c r="B1317" t="s">
        <v>16</v>
      </c>
      <c r="C1317">
        <v>29.3</v>
      </c>
      <c r="D1317">
        <v>1.7</v>
      </c>
      <c r="E1317" s="2">
        <f>C1317*D1317 / 100</f>
        <v>0.49810000000000004</v>
      </c>
      <c r="F1317">
        <f>IF(F1316 &lt; 7, F1316 +1,1)</f>
        <v>7</v>
      </c>
      <c r="G1317">
        <f t="shared" si="20"/>
        <v>143.30000000000001</v>
      </c>
    </row>
    <row r="1318" spans="1:7">
      <c r="A1318" s="1">
        <v>49957</v>
      </c>
      <c r="B1318" t="s">
        <v>6</v>
      </c>
      <c r="C1318">
        <v>24.7</v>
      </c>
      <c r="D1318">
        <v>2.5</v>
      </c>
      <c r="E1318" s="2">
        <f>C1318*D1318 / 100</f>
        <v>0.61750000000000005</v>
      </c>
      <c r="F1318">
        <f>IF(F1317 &lt; 7, F1317 +1,1)</f>
        <v>1</v>
      </c>
      <c r="G1318" t="str">
        <f t="shared" si="20"/>
        <v/>
      </c>
    </row>
    <row r="1319" spans="1:7">
      <c r="A1319" s="1">
        <v>49958</v>
      </c>
      <c r="B1319" t="s">
        <v>15</v>
      </c>
      <c r="C1319">
        <v>16.600000000000001</v>
      </c>
      <c r="D1319">
        <v>0.1</v>
      </c>
      <c r="E1319" s="2">
        <f>C1319*D1319 / 100</f>
        <v>1.66E-2</v>
      </c>
      <c r="F1319">
        <f>IF(F1318 &lt; 7, F1318 +1,1)</f>
        <v>2</v>
      </c>
      <c r="G1319" t="str">
        <f t="shared" si="20"/>
        <v/>
      </c>
    </row>
    <row r="1320" spans="1:7">
      <c r="A1320" s="1">
        <v>49959</v>
      </c>
      <c r="B1320" t="s">
        <v>29</v>
      </c>
      <c r="C1320">
        <v>27.5</v>
      </c>
      <c r="D1320">
        <v>0</v>
      </c>
      <c r="E1320" s="2">
        <f>C1320*D1320 / 100</f>
        <v>0</v>
      </c>
      <c r="F1320">
        <f>IF(F1319 &lt; 7, F1319 +1,1)</f>
        <v>3</v>
      </c>
      <c r="G1320" t="str">
        <f t="shared" si="20"/>
        <v/>
      </c>
    </row>
    <row r="1321" spans="1:7">
      <c r="A1321" s="1">
        <v>49960</v>
      </c>
      <c r="B1321" t="s">
        <v>33</v>
      </c>
      <c r="C1321">
        <v>22.7</v>
      </c>
      <c r="D1321">
        <v>0</v>
      </c>
      <c r="E1321" s="2">
        <f>C1321*D1321 / 100</f>
        <v>0</v>
      </c>
      <c r="F1321">
        <f>IF(F1320 &lt; 7, F1320 +1,1)</f>
        <v>4</v>
      </c>
      <c r="G1321" t="str">
        <f t="shared" si="20"/>
        <v/>
      </c>
    </row>
    <row r="1322" spans="1:7">
      <c r="A1322" s="1">
        <v>49961</v>
      </c>
      <c r="B1322" t="s">
        <v>34</v>
      </c>
      <c r="C1322">
        <v>20.100000000000001</v>
      </c>
      <c r="D1322">
        <v>10.5</v>
      </c>
      <c r="E1322" s="2">
        <f>C1322*D1322 / 100</f>
        <v>2.1105</v>
      </c>
      <c r="F1322">
        <f>IF(F1321 &lt; 7, F1321 +1,1)</f>
        <v>5</v>
      </c>
      <c r="G1322" t="str">
        <f t="shared" si="20"/>
        <v/>
      </c>
    </row>
    <row r="1323" spans="1:7">
      <c r="A1323" s="1">
        <v>49962</v>
      </c>
      <c r="B1323" t="s">
        <v>16</v>
      </c>
      <c r="C1323">
        <v>16.100000000000001</v>
      </c>
      <c r="D1323">
        <v>8.1</v>
      </c>
      <c r="E1323" s="2">
        <f>C1323*D1323 / 100</f>
        <v>1.3041</v>
      </c>
      <c r="F1323">
        <f>IF(F1322 &lt; 7, F1322 +1,1)</f>
        <v>6</v>
      </c>
      <c r="G1323" t="str">
        <f t="shared" si="20"/>
        <v/>
      </c>
    </row>
    <row r="1324" spans="1:7">
      <c r="A1324" s="1">
        <v>49963</v>
      </c>
      <c r="B1324" t="s">
        <v>16</v>
      </c>
      <c r="C1324">
        <v>13.9</v>
      </c>
      <c r="D1324">
        <v>0</v>
      </c>
      <c r="E1324" s="2">
        <f>C1324*D1324 / 100</f>
        <v>0</v>
      </c>
      <c r="F1324">
        <f>IF(F1323 &lt; 7, F1323 +1,1)</f>
        <v>7</v>
      </c>
      <c r="G1324">
        <f t="shared" si="20"/>
        <v>141.6</v>
      </c>
    </row>
    <row r="1325" spans="1:7">
      <c r="A1325" s="1">
        <v>49964</v>
      </c>
      <c r="B1325" t="s">
        <v>34</v>
      </c>
      <c r="C1325">
        <v>22.3</v>
      </c>
      <c r="D1325">
        <v>0</v>
      </c>
      <c r="E1325" s="2">
        <f>C1325*D1325 / 100</f>
        <v>0</v>
      </c>
      <c r="F1325">
        <f>IF(F1324 &lt; 7, F1324 +1,1)</f>
        <v>1</v>
      </c>
      <c r="G1325" t="str">
        <f t="shared" si="20"/>
        <v/>
      </c>
    </row>
    <row r="1326" spans="1:7">
      <c r="A1326" s="1">
        <v>49965</v>
      </c>
      <c r="B1326" t="s">
        <v>12</v>
      </c>
      <c r="C1326">
        <v>13</v>
      </c>
      <c r="D1326">
        <v>0</v>
      </c>
      <c r="E1326" s="2">
        <f>C1326*D1326 / 100</f>
        <v>0</v>
      </c>
      <c r="F1326">
        <f>IF(F1325 &lt; 7, F1325 +1,1)</f>
        <v>2</v>
      </c>
      <c r="G1326" t="str">
        <f t="shared" si="20"/>
        <v/>
      </c>
    </row>
    <row r="1327" spans="1:7">
      <c r="A1327" s="1">
        <v>49966</v>
      </c>
      <c r="B1327" t="s">
        <v>9</v>
      </c>
      <c r="C1327">
        <v>16.2</v>
      </c>
      <c r="D1327">
        <v>0</v>
      </c>
      <c r="E1327" s="2">
        <f>C1327*D1327 / 100</f>
        <v>0</v>
      </c>
      <c r="F1327">
        <f>IF(F1326 &lt; 7, F1326 +1,1)</f>
        <v>3</v>
      </c>
      <c r="G1327" t="str">
        <f t="shared" si="20"/>
        <v/>
      </c>
    </row>
    <row r="1328" spans="1:7">
      <c r="A1328" s="1">
        <v>49967</v>
      </c>
      <c r="B1328" t="s">
        <v>11</v>
      </c>
      <c r="C1328">
        <v>24.8</v>
      </c>
      <c r="D1328">
        <v>0</v>
      </c>
      <c r="E1328" s="2">
        <f>C1328*D1328 / 100</f>
        <v>0</v>
      </c>
      <c r="F1328">
        <f>IF(F1327 &lt; 7, F1327 +1,1)</f>
        <v>4</v>
      </c>
      <c r="G1328" t="str">
        <f t="shared" si="20"/>
        <v/>
      </c>
    </row>
    <row r="1329" spans="1:7">
      <c r="A1329" s="1">
        <v>49968</v>
      </c>
      <c r="B1329" t="s">
        <v>19</v>
      </c>
      <c r="C1329">
        <v>29.7</v>
      </c>
      <c r="D1329">
        <v>0</v>
      </c>
      <c r="E1329" s="2">
        <f>C1329*D1329 / 100</f>
        <v>0</v>
      </c>
      <c r="F1329">
        <f>IF(F1328 &lt; 7, F1328 +1,1)</f>
        <v>5</v>
      </c>
      <c r="G1329" t="str">
        <f t="shared" si="20"/>
        <v/>
      </c>
    </row>
    <row r="1330" spans="1:7">
      <c r="A1330" s="1">
        <v>49969</v>
      </c>
      <c r="B1330" t="s">
        <v>21</v>
      </c>
      <c r="C1330">
        <v>17.600000000000001</v>
      </c>
      <c r="D1330">
        <v>14.7</v>
      </c>
      <c r="E1330" s="2">
        <f>C1330*D1330 / 100</f>
        <v>2.5872000000000002</v>
      </c>
      <c r="F1330">
        <f>IF(F1329 &lt; 7, F1329 +1,1)</f>
        <v>6</v>
      </c>
      <c r="G1330" t="str">
        <f t="shared" si="20"/>
        <v/>
      </c>
    </row>
    <row r="1331" spans="1:7">
      <c r="A1331" s="1">
        <v>49970</v>
      </c>
      <c r="B1331" t="s">
        <v>21</v>
      </c>
      <c r="C1331">
        <v>10.4</v>
      </c>
      <c r="D1331">
        <v>27.7</v>
      </c>
      <c r="E1331" s="2">
        <f>C1331*D1331 / 100</f>
        <v>2.8807999999999998</v>
      </c>
      <c r="F1331">
        <f>IF(F1330 &lt; 7, F1330 +1,1)</f>
        <v>7</v>
      </c>
      <c r="G1331">
        <f t="shared" si="20"/>
        <v>134</v>
      </c>
    </row>
    <row r="1332" spans="1:7">
      <c r="A1332" s="1">
        <v>49971</v>
      </c>
      <c r="B1332" t="s">
        <v>33</v>
      </c>
      <c r="C1332">
        <v>17</v>
      </c>
      <c r="D1332">
        <v>1.1000000000000001</v>
      </c>
      <c r="E1332" s="2">
        <f>C1332*D1332 / 100</f>
        <v>0.18700000000000003</v>
      </c>
      <c r="F1332">
        <f>IF(F1331 &lt; 7, F1331 +1,1)</f>
        <v>1</v>
      </c>
      <c r="G1332" t="str">
        <f t="shared" si="20"/>
        <v/>
      </c>
    </row>
    <row r="1333" spans="1:7">
      <c r="A1333" s="1">
        <v>49972</v>
      </c>
      <c r="B1333" t="s">
        <v>29</v>
      </c>
      <c r="C1333">
        <v>15.7</v>
      </c>
      <c r="D1333">
        <v>5.9</v>
      </c>
      <c r="E1333" s="2">
        <f>C1333*D1333 / 100</f>
        <v>0.9262999999999999</v>
      </c>
      <c r="F1333">
        <f>IF(F1332 &lt; 7, F1332 +1,1)</f>
        <v>2</v>
      </c>
      <c r="G1333" t="str">
        <f t="shared" si="20"/>
        <v/>
      </c>
    </row>
    <row r="1334" spans="1:7">
      <c r="A1334" s="1">
        <v>49973</v>
      </c>
      <c r="B1334" t="s">
        <v>36</v>
      </c>
      <c r="C1334">
        <v>23.8</v>
      </c>
      <c r="D1334">
        <v>4.3</v>
      </c>
      <c r="E1334" s="2">
        <f>C1334*D1334 / 100</f>
        <v>1.0234000000000001</v>
      </c>
      <c r="F1334">
        <f>IF(F1333 &lt; 7, F1333 +1,1)</f>
        <v>3</v>
      </c>
      <c r="G1334" t="str">
        <f t="shared" si="20"/>
        <v/>
      </c>
    </row>
    <row r="1335" spans="1:7">
      <c r="A1335" s="1">
        <v>49974</v>
      </c>
      <c r="B1335" t="s">
        <v>9</v>
      </c>
      <c r="C1335">
        <v>16.2</v>
      </c>
      <c r="D1335">
        <v>8.6999999999999993</v>
      </c>
      <c r="E1335" s="2">
        <f>C1335*D1335 / 100</f>
        <v>1.4093999999999998</v>
      </c>
      <c r="F1335">
        <f>IF(F1334 &lt; 7, F1334 +1,1)</f>
        <v>4</v>
      </c>
      <c r="G1335" t="str">
        <f t="shared" si="20"/>
        <v/>
      </c>
    </row>
    <row r="1336" spans="1:7">
      <c r="A1336" s="1">
        <v>49975</v>
      </c>
      <c r="B1336" t="s">
        <v>10</v>
      </c>
      <c r="C1336">
        <v>23.3</v>
      </c>
      <c r="D1336">
        <v>5.8</v>
      </c>
      <c r="E1336" s="2">
        <f>C1336*D1336 / 100</f>
        <v>1.3513999999999999</v>
      </c>
      <c r="F1336">
        <f>IF(F1335 &lt; 7, F1335 +1,1)</f>
        <v>5</v>
      </c>
      <c r="G1336" t="str">
        <f t="shared" si="20"/>
        <v/>
      </c>
    </row>
    <row r="1337" spans="1:7">
      <c r="A1337" s="1">
        <v>49976</v>
      </c>
      <c r="B1337" t="s">
        <v>16</v>
      </c>
      <c r="C1337">
        <v>18.7</v>
      </c>
      <c r="D1337">
        <v>1.1000000000000001</v>
      </c>
      <c r="E1337" s="2">
        <f>C1337*D1337 / 100</f>
        <v>0.20569999999999999</v>
      </c>
      <c r="F1337">
        <f>IF(F1336 &lt; 7, F1336 +1,1)</f>
        <v>6</v>
      </c>
      <c r="G1337" t="str">
        <f t="shared" si="20"/>
        <v/>
      </c>
    </row>
    <row r="1338" spans="1:7">
      <c r="A1338" s="1">
        <v>49977</v>
      </c>
      <c r="B1338" t="s">
        <v>23</v>
      </c>
      <c r="C1338">
        <v>27.9</v>
      </c>
      <c r="D1338">
        <v>2.6</v>
      </c>
      <c r="E1338" s="2">
        <f>C1338*D1338 / 100</f>
        <v>0.72539999999999993</v>
      </c>
      <c r="F1338">
        <f>IF(F1337 &lt; 7, F1337 +1,1)</f>
        <v>7</v>
      </c>
      <c r="G1338">
        <f t="shared" si="20"/>
        <v>142.6</v>
      </c>
    </row>
    <row r="1339" spans="1:7">
      <c r="A1339" s="1">
        <v>49978</v>
      </c>
      <c r="B1339" t="s">
        <v>29</v>
      </c>
      <c r="C1339">
        <v>19.8</v>
      </c>
      <c r="D1339">
        <v>0</v>
      </c>
      <c r="E1339" s="2">
        <f>C1339*D1339 / 100</f>
        <v>0</v>
      </c>
      <c r="F1339">
        <f>IF(F1338 &lt; 7, F1338 +1,1)</f>
        <v>1</v>
      </c>
      <c r="G1339" t="str">
        <f t="shared" si="20"/>
        <v/>
      </c>
    </row>
    <row r="1340" spans="1:7">
      <c r="A1340" s="1">
        <v>49979</v>
      </c>
      <c r="B1340" t="s">
        <v>9</v>
      </c>
      <c r="C1340">
        <v>16.7</v>
      </c>
      <c r="D1340">
        <v>3.5</v>
      </c>
      <c r="E1340" s="2">
        <f>C1340*D1340 / 100</f>
        <v>0.58449999999999991</v>
      </c>
      <c r="F1340">
        <f>IF(F1339 &lt; 7, F1339 +1,1)</f>
        <v>2</v>
      </c>
      <c r="G1340" t="str">
        <f t="shared" si="20"/>
        <v/>
      </c>
    </row>
    <row r="1341" spans="1:7">
      <c r="A1341" s="1">
        <v>49980</v>
      </c>
      <c r="B1341" t="s">
        <v>6</v>
      </c>
      <c r="C1341">
        <v>28.6</v>
      </c>
      <c r="D1341">
        <v>0</v>
      </c>
      <c r="E1341" s="2">
        <f>C1341*D1341 / 100</f>
        <v>0</v>
      </c>
      <c r="F1341">
        <f>IF(F1340 &lt; 7, F1340 +1,1)</f>
        <v>3</v>
      </c>
      <c r="G1341" t="str">
        <f t="shared" si="20"/>
        <v/>
      </c>
    </row>
    <row r="1342" spans="1:7">
      <c r="A1342" s="1">
        <v>49981</v>
      </c>
      <c r="B1342" t="s">
        <v>21</v>
      </c>
      <c r="C1342">
        <v>10.8</v>
      </c>
      <c r="D1342">
        <v>32.9</v>
      </c>
      <c r="E1342" s="2">
        <f>C1342*D1342 / 100</f>
        <v>3.5531999999999999</v>
      </c>
      <c r="F1342">
        <f>IF(F1341 &lt; 7, F1341 +1,1)</f>
        <v>4</v>
      </c>
      <c r="G1342" t="str">
        <f t="shared" si="20"/>
        <v/>
      </c>
    </row>
    <row r="1343" spans="1:7">
      <c r="A1343" s="1">
        <v>49982</v>
      </c>
      <c r="B1343" t="s">
        <v>29</v>
      </c>
      <c r="C1343">
        <v>12.8</v>
      </c>
      <c r="D1343">
        <v>0</v>
      </c>
      <c r="E1343" s="2">
        <f>C1343*D1343 / 100</f>
        <v>0</v>
      </c>
      <c r="F1343">
        <f>IF(F1342 &lt; 7, F1342 +1,1)</f>
        <v>5</v>
      </c>
      <c r="G1343" t="str">
        <f t="shared" si="20"/>
        <v/>
      </c>
    </row>
    <row r="1344" spans="1:7">
      <c r="A1344" s="1">
        <v>49983</v>
      </c>
      <c r="B1344" t="s">
        <v>12</v>
      </c>
      <c r="C1344">
        <v>17.600000000000001</v>
      </c>
      <c r="D1344">
        <v>0</v>
      </c>
      <c r="E1344" s="2">
        <f>C1344*D1344 / 100</f>
        <v>0</v>
      </c>
      <c r="F1344">
        <f>IF(F1343 &lt; 7, F1343 +1,1)</f>
        <v>6</v>
      </c>
      <c r="G1344" t="str">
        <f t="shared" si="20"/>
        <v/>
      </c>
    </row>
    <row r="1345" spans="1:7">
      <c r="A1345" s="1">
        <v>49984</v>
      </c>
      <c r="B1345" t="s">
        <v>24</v>
      </c>
      <c r="C1345">
        <v>24.1</v>
      </c>
      <c r="D1345">
        <v>0</v>
      </c>
      <c r="E1345" s="2">
        <f>C1345*D1345 / 100</f>
        <v>0</v>
      </c>
      <c r="F1345">
        <f>IF(F1344 &lt; 7, F1344 +1,1)</f>
        <v>7</v>
      </c>
      <c r="G1345">
        <f t="shared" si="20"/>
        <v>130.39999999999998</v>
      </c>
    </row>
    <row r="1346" spans="1:7">
      <c r="A1346" s="1">
        <v>49985</v>
      </c>
      <c r="B1346" t="s">
        <v>9</v>
      </c>
      <c r="C1346">
        <v>11.4</v>
      </c>
      <c r="D1346">
        <v>18.2</v>
      </c>
      <c r="E1346" s="2">
        <f>C1346*D1346 / 100</f>
        <v>2.0747999999999998</v>
      </c>
      <c r="F1346">
        <f>IF(F1345 &lt; 7, F1345 +1,1)</f>
        <v>1</v>
      </c>
      <c r="G1346" t="str">
        <f t="shared" si="20"/>
        <v/>
      </c>
    </row>
    <row r="1347" spans="1:7">
      <c r="A1347" s="1">
        <v>49986</v>
      </c>
      <c r="B1347" t="s">
        <v>26</v>
      </c>
      <c r="C1347">
        <v>21.9</v>
      </c>
      <c r="D1347">
        <v>5.4</v>
      </c>
      <c r="E1347" s="2">
        <f>C1347*D1347 / 100</f>
        <v>1.1826000000000001</v>
      </c>
      <c r="F1347">
        <f>IF(F1346 &lt; 7, F1346 +1,1)</f>
        <v>2</v>
      </c>
      <c r="G1347" t="str">
        <f t="shared" si="20"/>
        <v/>
      </c>
    </row>
    <row r="1348" spans="1:7">
      <c r="A1348" s="1">
        <v>49987</v>
      </c>
      <c r="B1348" t="s">
        <v>12</v>
      </c>
      <c r="C1348">
        <v>16.8</v>
      </c>
      <c r="D1348">
        <v>1.6</v>
      </c>
      <c r="E1348" s="2">
        <f>C1348*D1348 / 100</f>
        <v>0.26880000000000004</v>
      </c>
      <c r="F1348">
        <f>IF(F1347 &lt; 7, F1347 +1,1)</f>
        <v>3</v>
      </c>
      <c r="G1348" t="str">
        <f t="shared" si="20"/>
        <v/>
      </c>
    </row>
    <row r="1349" spans="1:7">
      <c r="A1349" s="1">
        <v>49988</v>
      </c>
      <c r="B1349" t="s">
        <v>30</v>
      </c>
      <c r="C1349">
        <v>26</v>
      </c>
      <c r="D1349">
        <v>0</v>
      </c>
      <c r="E1349" s="2">
        <f>C1349*D1349 / 100</f>
        <v>0</v>
      </c>
      <c r="F1349">
        <f>IF(F1348 &lt; 7, F1348 +1,1)</f>
        <v>4</v>
      </c>
      <c r="G1349" t="str">
        <f t="shared" si="20"/>
        <v/>
      </c>
    </row>
    <row r="1350" spans="1:7">
      <c r="A1350" s="1">
        <v>49989</v>
      </c>
      <c r="B1350" t="s">
        <v>9</v>
      </c>
      <c r="C1350">
        <v>20.2</v>
      </c>
      <c r="D1350">
        <v>10</v>
      </c>
      <c r="E1350" s="2">
        <f>C1350*D1350 / 100</f>
        <v>2.02</v>
      </c>
      <c r="F1350">
        <f>IF(F1349 &lt; 7, F1349 +1,1)</f>
        <v>5</v>
      </c>
      <c r="G1350" t="str">
        <f t="shared" si="20"/>
        <v/>
      </c>
    </row>
    <row r="1351" spans="1:7">
      <c r="A1351" s="1">
        <v>49990</v>
      </c>
      <c r="B1351" t="s">
        <v>36</v>
      </c>
      <c r="C1351">
        <v>20.3</v>
      </c>
      <c r="D1351">
        <v>37.799999999999997</v>
      </c>
      <c r="E1351" s="2">
        <f>C1351*D1351 / 100</f>
        <v>7.6733999999999991</v>
      </c>
      <c r="F1351">
        <f>IF(F1350 &lt; 7, F1350 +1,1)</f>
        <v>6</v>
      </c>
      <c r="G1351" t="str">
        <f t="shared" si="20"/>
        <v/>
      </c>
    </row>
    <row r="1352" spans="1:7">
      <c r="A1352" s="1">
        <v>49991</v>
      </c>
      <c r="B1352" t="s">
        <v>16</v>
      </c>
      <c r="C1352">
        <v>27.5</v>
      </c>
      <c r="D1352">
        <v>20.8</v>
      </c>
      <c r="E1352" s="2">
        <f>C1352*D1352 / 100</f>
        <v>5.72</v>
      </c>
      <c r="F1352">
        <f>IF(F1351 &lt; 7, F1351 +1,1)</f>
        <v>7</v>
      </c>
      <c r="G1352">
        <f t="shared" si="20"/>
        <v>144.1</v>
      </c>
    </row>
    <row r="1353" spans="1:7">
      <c r="A1353" s="1">
        <v>49992</v>
      </c>
      <c r="B1353" t="s">
        <v>36</v>
      </c>
      <c r="C1353">
        <v>24.2</v>
      </c>
      <c r="D1353">
        <v>2.9</v>
      </c>
      <c r="E1353" s="2">
        <f>C1353*D1353 / 100</f>
        <v>0.70179999999999998</v>
      </c>
      <c r="F1353">
        <f>IF(F1352 &lt; 7, F1352 +1,1)</f>
        <v>1</v>
      </c>
      <c r="G1353" t="str">
        <f t="shared" ref="G1353:G1416" si="21">IF(F1353=7, SUM(C1347:C1353), "")</f>
        <v/>
      </c>
    </row>
    <row r="1354" spans="1:7">
      <c r="A1354" s="1">
        <v>49993</v>
      </c>
      <c r="B1354" t="s">
        <v>9</v>
      </c>
      <c r="C1354">
        <v>10.7</v>
      </c>
      <c r="D1354">
        <v>14.3</v>
      </c>
      <c r="E1354" s="2">
        <f>C1354*D1354 / 100</f>
        <v>1.5301</v>
      </c>
      <c r="F1354">
        <f>IF(F1353 &lt; 7, F1353 +1,1)</f>
        <v>2</v>
      </c>
      <c r="G1354" t="str">
        <f t="shared" si="21"/>
        <v/>
      </c>
    </row>
    <row r="1355" spans="1:7">
      <c r="A1355" s="1">
        <v>49994</v>
      </c>
      <c r="B1355" t="s">
        <v>36</v>
      </c>
      <c r="C1355">
        <v>17.3</v>
      </c>
      <c r="D1355">
        <v>0</v>
      </c>
      <c r="E1355" s="2">
        <f>C1355*D1355 / 100</f>
        <v>0</v>
      </c>
      <c r="F1355">
        <f>IF(F1354 &lt; 7, F1354 +1,1)</f>
        <v>3</v>
      </c>
      <c r="G1355" t="str">
        <f t="shared" si="21"/>
        <v/>
      </c>
    </row>
    <row r="1356" spans="1:7">
      <c r="A1356" s="1">
        <v>49995</v>
      </c>
      <c r="B1356" t="s">
        <v>9</v>
      </c>
      <c r="C1356">
        <v>13.5</v>
      </c>
      <c r="D1356">
        <v>21.1</v>
      </c>
      <c r="E1356" s="2">
        <f>C1356*D1356 / 100</f>
        <v>2.8485</v>
      </c>
      <c r="F1356">
        <f>IF(F1355 &lt; 7, F1355 +1,1)</f>
        <v>4</v>
      </c>
      <c r="G1356" t="str">
        <f t="shared" si="21"/>
        <v/>
      </c>
    </row>
    <row r="1357" spans="1:7">
      <c r="A1357" s="1">
        <v>49996</v>
      </c>
      <c r="B1357" t="s">
        <v>30</v>
      </c>
      <c r="C1357">
        <v>13.6</v>
      </c>
      <c r="D1357">
        <v>6</v>
      </c>
      <c r="E1357" s="2">
        <f>C1357*D1357 / 100</f>
        <v>0.81599999999999995</v>
      </c>
      <c r="F1357">
        <f>IF(F1356 &lt; 7, F1356 +1,1)</f>
        <v>5</v>
      </c>
      <c r="G1357" t="str">
        <f t="shared" si="21"/>
        <v/>
      </c>
    </row>
    <row r="1358" spans="1:7">
      <c r="A1358" s="1">
        <v>49997</v>
      </c>
      <c r="B1358" t="s">
        <v>10</v>
      </c>
      <c r="C1358">
        <v>19.899999999999999</v>
      </c>
      <c r="D1358">
        <v>0</v>
      </c>
      <c r="E1358" s="2">
        <f>C1358*D1358 / 100</f>
        <v>0</v>
      </c>
      <c r="F1358">
        <f>IF(F1357 &lt; 7, F1357 +1,1)</f>
        <v>6</v>
      </c>
      <c r="G1358" t="str">
        <f t="shared" si="21"/>
        <v/>
      </c>
    </row>
    <row r="1359" spans="1:7">
      <c r="A1359" s="1">
        <v>49998</v>
      </c>
      <c r="B1359" t="s">
        <v>29</v>
      </c>
      <c r="C1359">
        <v>13.1</v>
      </c>
      <c r="D1359">
        <v>10.199999999999999</v>
      </c>
      <c r="E1359" s="2">
        <f>C1359*D1359 / 100</f>
        <v>1.3361999999999998</v>
      </c>
      <c r="F1359">
        <f>IF(F1358 &lt; 7, F1358 +1,1)</f>
        <v>7</v>
      </c>
      <c r="G1359">
        <f t="shared" si="21"/>
        <v>112.29999999999998</v>
      </c>
    </row>
    <row r="1360" spans="1:7">
      <c r="A1360" s="1">
        <v>49999</v>
      </c>
      <c r="B1360" t="s">
        <v>28</v>
      </c>
      <c r="C1360">
        <v>29.8</v>
      </c>
      <c r="D1360">
        <v>1.9</v>
      </c>
      <c r="E1360" s="2">
        <f>C1360*D1360 / 100</f>
        <v>0.56619999999999993</v>
      </c>
      <c r="F1360">
        <f>IF(F1359 &lt; 7, F1359 +1,1)</f>
        <v>1</v>
      </c>
      <c r="G1360" t="str">
        <f t="shared" si="21"/>
        <v/>
      </c>
    </row>
    <row r="1361" spans="1:7">
      <c r="A1361" s="1">
        <v>50000</v>
      </c>
      <c r="B1361" t="s">
        <v>5</v>
      </c>
      <c r="C1361">
        <v>23.7</v>
      </c>
      <c r="D1361">
        <v>0.3</v>
      </c>
      <c r="E1361" s="2">
        <f>C1361*D1361 / 100</f>
        <v>7.1099999999999997E-2</v>
      </c>
      <c r="F1361">
        <f>IF(F1360 &lt; 7, F1360 +1,1)</f>
        <v>2</v>
      </c>
      <c r="G1361" t="str">
        <f t="shared" si="21"/>
        <v/>
      </c>
    </row>
    <row r="1362" spans="1:7">
      <c r="A1362" s="1">
        <v>50001</v>
      </c>
      <c r="B1362" t="s">
        <v>36</v>
      </c>
      <c r="C1362">
        <v>14</v>
      </c>
      <c r="D1362">
        <v>0</v>
      </c>
      <c r="E1362" s="2">
        <f>C1362*D1362 / 100</f>
        <v>0</v>
      </c>
      <c r="F1362">
        <f>IF(F1361 &lt; 7, F1361 +1,1)</f>
        <v>3</v>
      </c>
      <c r="G1362" t="str">
        <f t="shared" si="21"/>
        <v/>
      </c>
    </row>
    <row r="1363" spans="1:7">
      <c r="A1363" s="1">
        <v>50002</v>
      </c>
      <c r="B1363" t="s">
        <v>17</v>
      </c>
      <c r="C1363">
        <v>19</v>
      </c>
      <c r="D1363">
        <v>0.5</v>
      </c>
      <c r="E1363" s="2">
        <f>C1363*D1363 / 100</f>
        <v>9.5000000000000001E-2</v>
      </c>
      <c r="F1363">
        <f>IF(F1362 &lt; 7, F1362 +1,1)</f>
        <v>4</v>
      </c>
      <c r="G1363" t="str">
        <f t="shared" si="21"/>
        <v/>
      </c>
    </row>
    <row r="1364" spans="1:7">
      <c r="A1364" s="1">
        <v>50003</v>
      </c>
      <c r="B1364" t="s">
        <v>27</v>
      </c>
      <c r="C1364">
        <v>23.9</v>
      </c>
      <c r="D1364">
        <v>0.5</v>
      </c>
      <c r="E1364" s="2">
        <f>C1364*D1364 / 100</f>
        <v>0.1195</v>
      </c>
      <c r="F1364">
        <f>IF(F1363 &lt; 7, F1363 +1,1)</f>
        <v>5</v>
      </c>
      <c r="G1364" t="str">
        <f t="shared" si="21"/>
        <v/>
      </c>
    </row>
    <row r="1365" spans="1:7">
      <c r="A1365" s="1">
        <v>50004</v>
      </c>
      <c r="B1365" t="s">
        <v>36</v>
      </c>
      <c r="C1365">
        <v>12.8</v>
      </c>
      <c r="D1365">
        <v>26.7</v>
      </c>
      <c r="E1365" s="2">
        <f>C1365*D1365 / 100</f>
        <v>3.4175999999999997</v>
      </c>
      <c r="F1365">
        <f>IF(F1364 &lt; 7, F1364 +1,1)</f>
        <v>6</v>
      </c>
      <c r="G1365" t="str">
        <f t="shared" si="21"/>
        <v/>
      </c>
    </row>
    <row r="1366" spans="1:7">
      <c r="A1366" s="1">
        <v>50005</v>
      </c>
      <c r="B1366" t="s">
        <v>16</v>
      </c>
      <c r="C1366">
        <v>26.9</v>
      </c>
      <c r="D1366">
        <v>4.5</v>
      </c>
      <c r="E1366" s="2">
        <f>C1366*D1366 / 100</f>
        <v>1.2104999999999999</v>
      </c>
      <c r="F1366">
        <f>IF(F1365 &lt; 7, F1365 +1,1)</f>
        <v>7</v>
      </c>
      <c r="G1366">
        <f t="shared" si="21"/>
        <v>150.1</v>
      </c>
    </row>
    <row r="1367" spans="1:7">
      <c r="A1367" s="1">
        <v>50006</v>
      </c>
      <c r="B1367" t="s">
        <v>12</v>
      </c>
      <c r="C1367">
        <v>10.6</v>
      </c>
      <c r="D1367">
        <v>0</v>
      </c>
      <c r="E1367" s="2">
        <f>C1367*D1367 / 100</f>
        <v>0</v>
      </c>
      <c r="F1367">
        <f>IF(F1366 &lt; 7, F1366 +1,1)</f>
        <v>1</v>
      </c>
      <c r="G1367" t="str">
        <f t="shared" si="21"/>
        <v/>
      </c>
    </row>
    <row r="1368" spans="1:7">
      <c r="A1368" s="1">
        <v>50007</v>
      </c>
      <c r="B1368" t="s">
        <v>9</v>
      </c>
      <c r="C1368">
        <v>21.1</v>
      </c>
      <c r="D1368">
        <v>10.6</v>
      </c>
      <c r="E1368" s="2">
        <f>C1368*D1368 / 100</f>
        <v>2.2366000000000001</v>
      </c>
      <c r="F1368">
        <f>IF(F1367 &lt; 7, F1367 +1,1)</f>
        <v>2</v>
      </c>
      <c r="G1368" t="str">
        <f t="shared" si="21"/>
        <v/>
      </c>
    </row>
    <row r="1369" spans="1:7">
      <c r="A1369" s="1">
        <v>50008</v>
      </c>
      <c r="B1369" t="s">
        <v>30</v>
      </c>
      <c r="C1369">
        <v>11.7</v>
      </c>
      <c r="D1369">
        <v>9.9</v>
      </c>
      <c r="E1369" s="2">
        <f>C1369*D1369 / 100</f>
        <v>1.1582999999999999</v>
      </c>
      <c r="F1369">
        <f>IF(F1368 &lt; 7, F1368 +1,1)</f>
        <v>3</v>
      </c>
      <c r="G1369" t="str">
        <f t="shared" si="21"/>
        <v/>
      </c>
    </row>
    <row r="1370" spans="1:7">
      <c r="A1370" s="1">
        <v>50009</v>
      </c>
      <c r="B1370" t="s">
        <v>22</v>
      </c>
      <c r="C1370">
        <v>20.5</v>
      </c>
      <c r="D1370">
        <v>3.7</v>
      </c>
      <c r="E1370" s="2">
        <f>C1370*D1370 / 100</f>
        <v>0.75850000000000006</v>
      </c>
      <c r="F1370">
        <f>IF(F1369 &lt; 7, F1369 +1,1)</f>
        <v>4</v>
      </c>
      <c r="G1370" t="str">
        <f t="shared" si="21"/>
        <v/>
      </c>
    </row>
    <row r="1371" spans="1:7">
      <c r="A1371" s="1">
        <v>50010</v>
      </c>
      <c r="B1371" t="s">
        <v>36</v>
      </c>
      <c r="C1371">
        <v>27.4</v>
      </c>
      <c r="D1371">
        <v>10.4</v>
      </c>
      <c r="E1371" s="2">
        <f>C1371*D1371 / 100</f>
        <v>2.8495999999999997</v>
      </c>
      <c r="F1371">
        <f>IF(F1370 &lt; 7, F1370 +1,1)</f>
        <v>5</v>
      </c>
      <c r="G1371" t="str">
        <f t="shared" si="21"/>
        <v/>
      </c>
    </row>
    <row r="1372" spans="1:7">
      <c r="A1372" s="1">
        <v>50011</v>
      </c>
      <c r="B1372" t="s">
        <v>21</v>
      </c>
      <c r="C1372">
        <v>15.8</v>
      </c>
      <c r="D1372">
        <v>10.199999999999999</v>
      </c>
      <c r="E1372" s="2">
        <f>C1372*D1372 / 100</f>
        <v>1.6115999999999999</v>
      </c>
      <c r="F1372">
        <f>IF(F1371 &lt; 7, F1371 +1,1)</f>
        <v>6</v>
      </c>
      <c r="G1372" t="str">
        <f t="shared" si="21"/>
        <v/>
      </c>
    </row>
    <row r="1373" spans="1:7">
      <c r="A1373" s="1">
        <v>50012</v>
      </c>
      <c r="B1373" t="s">
        <v>36</v>
      </c>
      <c r="C1373">
        <v>19.600000000000001</v>
      </c>
      <c r="D1373">
        <v>0</v>
      </c>
      <c r="E1373" s="2">
        <f>C1373*D1373 / 100</f>
        <v>0</v>
      </c>
      <c r="F1373">
        <f>IF(F1372 &lt; 7, F1372 +1,1)</f>
        <v>7</v>
      </c>
      <c r="G1373">
        <f t="shared" si="21"/>
        <v>126.70000000000002</v>
      </c>
    </row>
    <row r="1374" spans="1:7">
      <c r="A1374" s="1">
        <v>50013</v>
      </c>
      <c r="B1374" t="s">
        <v>21</v>
      </c>
      <c r="C1374">
        <v>16.899999999999999</v>
      </c>
      <c r="D1374">
        <v>48.4</v>
      </c>
      <c r="E1374" s="2">
        <f>C1374*D1374 / 100</f>
        <v>8.1795999999999989</v>
      </c>
      <c r="F1374">
        <f>IF(F1373 &lt; 7, F1373 +1,1)</f>
        <v>1</v>
      </c>
      <c r="G1374" t="str">
        <f t="shared" si="21"/>
        <v/>
      </c>
    </row>
    <row r="1375" spans="1:7">
      <c r="A1375" s="1">
        <v>50014</v>
      </c>
      <c r="B1375" t="s">
        <v>36</v>
      </c>
      <c r="C1375">
        <v>12.2</v>
      </c>
      <c r="D1375">
        <v>0</v>
      </c>
      <c r="E1375" s="2">
        <f>C1375*D1375 / 100</f>
        <v>0</v>
      </c>
      <c r="F1375">
        <f>IF(F1374 &lt; 7, F1374 +1,1)</f>
        <v>2</v>
      </c>
      <c r="G1375" t="str">
        <f t="shared" si="21"/>
        <v/>
      </c>
    </row>
    <row r="1376" spans="1:7">
      <c r="A1376" s="1">
        <v>50015</v>
      </c>
      <c r="B1376" t="s">
        <v>21</v>
      </c>
      <c r="C1376">
        <v>16.600000000000001</v>
      </c>
      <c r="D1376">
        <v>14.1</v>
      </c>
      <c r="E1376" s="2">
        <f>C1376*D1376 / 100</f>
        <v>2.3406000000000002</v>
      </c>
      <c r="F1376">
        <f>IF(F1375 &lt; 7, F1375 +1,1)</f>
        <v>3</v>
      </c>
      <c r="G1376" t="str">
        <f t="shared" si="21"/>
        <v/>
      </c>
    </row>
    <row r="1377" spans="1:7">
      <c r="A1377" s="1">
        <v>50016</v>
      </c>
      <c r="B1377" t="s">
        <v>9</v>
      </c>
      <c r="C1377">
        <v>27.6</v>
      </c>
      <c r="D1377">
        <v>0</v>
      </c>
      <c r="E1377" s="2">
        <f>C1377*D1377 / 100</f>
        <v>0</v>
      </c>
      <c r="F1377">
        <f>IF(F1376 &lt; 7, F1376 +1,1)</f>
        <v>4</v>
      </c>
      <c r="G1377" t="str">
        <f t="shared" si="21"/>
        <v/>
      </c>
    </row>
    <row r="1378" spans="1:7">
      <c r="A1378" s="1">
        <v>50017</v>
      </c>
      <c r="B1378" t="s">
        <v>33</v>
      </c>
      <c r="C1378">
        <v>24.8</v>
      </c>
      <c r="D1378">
        <v>0</v>
      </c>
      <c r="E1378" s="2">
        <f>C1378*D1378 / 100</f>
        <v>0</v>
      </c>
      <c r="F1378">
        <f>IF(F1377 &lt; 7, F1377 +1,1)</f>
        <v>5</v>
      </c>
      <c r="G1378" t="str">
        <f t="shared" si="21"/>
        <v/>
      </c>
    </row>
    <row r="1379" spans="1:7">
      <c r="A1379" s="1">
        <v>50018</v>
      </c>
      <c r="B1379" t="s">
        <v>21</v>
      </c>
      <c r="C1379">
        <v>23.1</v>
      </c>
      <c r="D1379">
        <v>29.8</v>
      </c>
      <c r="E1379" s="2">
        <f>C1379*D1379 / 100</f>
        <v>6.8838000000000008</v>
      </c>
      <c r="F1379">
        <f>IF(F1378 &lt; 7, F1378 +1,1)</f>
        <v>6</v>
      </c>
      <c r="G1379" t="str">
        <f t="shared" si="21"/>
        <v/>
      </c>
    </row>
    <row r="1380" spans="1:7">
      <c r="A1380" s="1">
        <v>50019</v>
      </c>
      <c r="B1380" t="s">
        <v>14</v>
      </c>
      <c r="C1380">
        <v>12.4</v>
      </c>
      <c r="D1380">
        <v>6.1</v>
      </c>
      <c r="E1380" s="2">
        <f>C1380*D1380 / 100</f>
        <v>0.75639999999999996</v>
      </c>
      <c r="F1380">
        <f>IF(F1379 &lt; 7, F1379 +1,1)</f>
        <v>7</v>
      </c>
      <c r="G1380">
        <f t="shared" si="21"/>
        <v>133.60000000000002</v>
      </c>
    </row>
    <row r="1381" spans="1:7">
      <c r="A1381" s="1">
        <v>50020</v>
      </c>
      <c r="B1381" t="s">
        <v>36</v>
      </c>
      <c r="C1381">
        <v>13.9</v>
      </c>
      <c r="D1381">
        <v>21.5</v>
      </c>
      <c r="E1381" s="2">
        <f>C1381*D1381 / 100</f>
        <v>2.9885000000000002</v>
      </c>
      <c r="F1381">
        <f>IF(F1380 &lt; 7, F1380 +1,1)</f>
        <v>1</v>
      </c>
      <c r="G1381" t="str">
        <f t="shared" si="21"/>
        <v/>
      </c>
    </row>
    <row r="1382" spans="1:7">
      <c r="A1382" s="1">
        <v>50021</v>
      </c>
      <c r="B1382" t="s">
        <v>18</v>
      </c>
      <c r="C1382">
        <v>16.600000000000001</v>
      </c>
      <c r="D1382">
        <v>4.7</v>
      </c>
      <c r="E1382" s="2">
        <f>C1382*D1382 / 100</f>
        <v>0.78020000000000012</v>
      </c>
      <c r="F1382">
        <f>IF(F1381 &lt; 7, F1381 +1,1)</f>
        <v>2</v>
      </c>
      <c r="G1382" t="str">
        <f t="shared" si="21"/>
        <v/>
      </c>
    </row>
    <row r="1383" spans="1:7">
      <c r="A1383" s="1">
        <v>50022</v>
      </c>
      <c r="B1383" t="s">
        <v>19</v>
      </c>
      <c r="C1383">
        <v>17.7</v>
      </c>
      <c r="D1383">
        <v>14</v>
      </c>
      <c r="E1383" s="2">
        <f>C1383*D1383 / 100</f>
        <v>2.4779999999999998</v>
      </c>
      <c r="F1383">
        <f>IF(F1382 &lt; 7, F1382 +1,1)</f>
        <v>3</v>
      </c>
      <c r="G1383" t="str">
        <f t="shared" si="21"/>
        <v/>
      </c>
    </row>
    <row r="1384" spans="1:7">
      <c r="A1384" s="1">
        <v>50023</v>
      </c>
      <c r="B1384" t="s">
        <v>9</v>
      </c>
      <c r="C1384">
        <v>19</v>
      </c>
      <c r="D1384">
        <v>1.7</v>
      </c>
      <c r="E1384" s="2">
        <f>C1384*D1384 / 100</f>
        <v>0.32299999999999995</v>
      </c>
      <c r="F1384">
        <f>IF(F1383 &lt; 7, F1383 +1,1)</f>
        <v>4</v>
      </c>
      <c r="G1384" t="str">
        <f t="shared" si="21"/>
        <v/>
      </c>
    </row>
    <row r="1385" spans="1:7">
      <c r="A1385" s="1">
        <v>50024</v>
      </c>
      <c r="B1385" t="s">
        <v>16</v>
      </c>
      <c r="C1385">
        <v>29.9</v>
      </c>
      <c r="D1385">
        <v>0</v>
      </c>
      <c r="E1385" s="2">
        <f>C1385*D1385 / 100</f>
        <v>0</v>
      </c>
      <c r="F1385">
        <f>IF(F1384 &lt; 7, F1384 +1,1)</f>
        <v>5</v>
      </c>
      <c r="G1385" t="str">
        <f t="shared" si="21"/>
        <v/>
      </c>
    </row>
    <row r="1386" spans="1:7">
      <c r="A1386" s="1">
        <v>50025</v>
      </c>
      <c r="B1386" t="s">
        <v>36</v>
      </c>
      <c r="C1386">
        <v>23.7</v>
      </c>
      <c r="D1386">
        <v>31.4</v>
      </c>
      <c r="E1386" s="2">
        <f>C1386*D1386 / 100</f>
        <v>7.4417999999999997</v>
      </c>
      <c r="F1386">
        <f>IF(F1385 &lt; 7, F1385 +1,1)</f>
        <v>6</v>
      </c>
      <c r="G1386" t="str">
        <f t="shared" si="21"/>
        <v/>
      </c>
    </row>
    <row r="1387" spans="1:7">
      <c r="A1387" s="1">
        <v>50026</v>
      </c>
      <c r="B1387" t="s">
        <v>21</v>
      </c>
      <c r="C1387">
        <v>25.4</v>
      </c>
      <c r="D1387">
        <v>0</v>
      </c>
      <c r="E1387" s="2">
        <f>C1387*D1387 / 100</f>
        <v>0</v>
      </c>
      <c r="F1387">
        <f>IF(F1386 &lt; 7, F1386 +1,1)</f>
        <v>7</v>
      </c>
      <c r="G1387">
        <f t="shared" si="21"/>
        <v>146.19999999999999</v>
      </c>
    </row>
    <row r="1388" spans="1:7">
      <c r="A1388" s="1">
        <v>50027</v>
      </c>
      <c r="B1388" t="s">
        <v>29</v>
      </c>
      <c r="C1388">
        <v>24.3</v>
      </c>
      <c r="D1388">
        <v>15.8</v>
      </c>
      <c r="E1388" s="2">
        <f>C1388*D1388 / 100</f>
        <v>3.8394000000000004</v>
      </c>
      <c r="F1388">
        <f>IF(F1387 &lt; 7, F1387 +1,1)</f>
        <v>1</v>
      </c>
      <c r="G1388" t="str">
        <f t="shared" si="21"/>
        <v/>
      </c>
    </row>
    <row r="1389" spans="1:7">
      <c r="A1389" s="1">
        <v>50028</v>
      </c>
      <c r="B1389" t="s">
        <v>16</v>
      </c>
      <c r="C1389">
        <v>10.8</v>
      </c>
      <c r="D1389">
        <v>0</v>
      </c>
      <c r="E1389" s="2">
        <f>C1389*D1389 / 100</f>
        <v>0</v>
      </c>
      <c r="F1389">
        <f>IF(F1388 &lt; 7, F1388 +1,1)</f>
        <v>2</v>
      </c>
      <c r="G1389" t="str">
        <f t="shared" si="21"/>
        <v/>
      </c>
    </row>
    <row r="1390" spans="1:7">
      <c r="A1390" s="1">
        <v>50029</v>
      </c>
      <c r="B1390" t="s">
        <v>21</v>
      </c>
      <c r="C1390">
        <v>19</v>
      </c>
      <c r="D1390">
        <v>9.1</v>
      </c>
      <c r="E1390" s="2">
        <f>C1390*D1390 / 100</f>
        <v>1.7290000000000001</v>
      </c>
      <c r="F1390">
        <f>IF(F1389 &lt; 7, F1389 +1,1)</f>
        <v>3</v>
      </c>
      <c r="G1390" t="str">
        <f t="shared" si="21"/>
        <v/>
      </c>
    </row>
    <row r="1391" spans="1:7">
      <c r="A1391" s="1">
        <v>50030</v>
      </c>
      <c r="B1391" t="s">
        <v>33</v>
      </c>
      <c r="C1391">
        <v>27.8</v>
      </c>
      <c r="D1391">
        <v>15.2</v>
      </c>
      <c r="E1391" s="2">
        <f>C1391*D1391 / 100</f>
        <v>4.2256</v>
      </c>
      <c r="F1391">
        <f>IF(F1390 &lt; 7, F1390 +1,1)</f>
        <v>4</v>
      </c>
      <c r="G1391" t="str">
        <f t="shared" si="21"/>
        <v/>
      </c>
    </row>
    <row r="1392" spans="1:7">
      <c r="A1392" s="1">
        <v>50031</v>
      </c>
      <c r="B1392" t="s">
        <v>16</v>
      </c>
      <c r="C1392">
        <v>28.8</v>
      </c>
      <c r="D1392">
        <v>0</v>
      </c>
      <c r="E1392" s="2">
        <f>C1392*D1392 / 100</f>
        <v>0</v>
      </c>
      <c r="F1392">
        <f>IF(F1391 &lt; 7, F1391 +1,1)</f>
        <v>5</v>
      </c>
      <c r="G1392" t="str">
        <f t="shared" si="21"/>
        <v/>
      </c>
    </row>
    <row r="1393" spans="1:7">
      <c r="A1393" s="1">
        <v>50032</v>
      </c>
      <c r="B1393" t="s">
        <v>10</v>
      </c>
      <c r="C1393">
        <v>12.6</v>
      </c>
      <c r="D1393">
        <v>0.8</v>
      </c>
      <c r="E1393" s="2">
        <f>C1393*D1393 / 100</f>
        <v>0.1008</v>
      </c>
      <c r="F1393">
        <f>IF(F1392 &lt; 7, F1392 +1,1)</f>
        <v>6</v>
      </c>
      <c r="G1393" t="str">
        <f t="shared" si="21"/>
        <v/>
      </c>
    </row>
    <row r="1394" spans="1:7">
      <c r="A1394" s="1">
        <v>50033</v>
      </c>
      <c r="B1394" t="s">
        <v>10</v>
      </c>
      <c r="C1394">
        <v>20.7</v>
      </c>
      <c r="D1394">
        <v>0</v>
      </c>
      <c r="E1394" s="2">
        <f>C1394*D1394 / 100</f>
        <v>0</v>
      </c>
      <c r="F1394">
        <f>IF(F1393 &lt; 7, F1393 +1,1)</f>
        <v>7</v>
      </c>
      <c r="G1394">
        <f t="shared" si="21"/>
        <v>144</v>
      </c>
    </row>
    <row r="1395" spans="1:7">
      <c r="A1395" s="1">
        <v>50034</v>
      </c>
      <c r="B1395" t="s">
        <v>36</v>
      </c>
      <c r="C1395">
        <v>19.399999999999999</v>
      </c>
      <c r="D1395">
        <v>19.3</v>
      </c>
      <c r="E1395" s="2">
        <f>C1395*D1395 / 100</f>
        <v>3.7441999999999998</v>
      </c>
      <c r="F1395">
        <f>IF(F1394 &lt; 7, F1394 +1,1)</f>
        <v>1</v>
      </c>
      <c r="G1395" t="str">
        <f t="shared" si="21"/>
        <v/>
      </c>
    </row>
    <row r="1396" spans="1:7">
      <c r="A1396" s="1">
        <v>50035</v>
      </c>
      <c r="B1396" t="s">
        <v>21</v>
      </c>
      <c r="C1396">
        <v>24.3</v>
      </c>
      <c r="D1396">
        <v>8.8000000000000007</v>
      </c>
      <c r="E1396" s="2">
        <f>C1396*D1396 / 100</f>
        <v>2.1384000000000003</v>
      </c>
      <c r="F1396">
        <f>IF(F1395 &lt; 7, F1395 +1,1)</f>
        <v>2</v>
      </c>
      <c r="G1396" t="str">
        <f t="shared" si="21"/>
        <v/>
      </c>
    </row>
    <row r="1397" spans="1:7">
      <c r="A1397" s="1">
        <v>50036</v>
      </c>
      <c r="B1397" t="s">
        <v>36</v>
      </c>
      <c r="C1397">
        <v>21.2</v>
      </c>
      <c r="D1397">
        <v>36</v>
      </c>
      <c r="E1397" s="2">
        <f>C1397*D1397 / 100</f>
        <v>7.6319999999999997</v>
      </c>
      <c r="F1397">
        <f>IF(F1396 &lt; 7, F1396 +1,1)</f>
        <v>3</v>
      </c>
      <c r="G1397" t="str">
        <f t="shared" si="21"/>
        <v/>
      </c>
    </row>
    <row r="1398" spans="1:7">
      <c r="A1398" s="1">
        <v>50037</v>
      </c>
      <c r="B1398" t="s">
        <v>10</v>
      </c>
      <c r="C1398">
        <v>28.4</v>
      </c>
      <c r="D1398">
        <v>0</v>
      </c>
      <c r="E1398" s="2">
        <f>C1398*D1398 / 100</f>
        <v>0</v>
      </c>
      <c r="F1398">
        <f>IF(F1397 &lt; 7, F1397 +1,1)</f>
        <v>4</v>
      </c>
      <c r="G1398" t="str">
        <f t="shared" si="21"/>
        <v/>
      </c>
    </row>
    <row r="1399" spans="1:7">
      <c r="A1399" s="1">
        <v>50038</v>
      </c>
      <c r="B1399" t="s">
        <v>14</v>
      </c>
      <c r="C1399">
        <v>17.100000000000001</v>
      </c>
      <c r="D1399">
        <v>5.4</v>
      </c>
      <c r="E1399" s="2">
        <f>C1399*D1399 / 100</f>
        <v>0.92340000000000022</v>
      </c>
      <c r="F1399">
        <f>IF(F1398 &lt; 7, F1398 +1,1)</f>
        <v>5</v>
      </c>
      <c r="G1399" t="str">
        <f t="shared" si="21"/>
        <v/>
      </c>
    </row>
    <row r="1400" spans="1:7">
      <c r="A1400" s="1">
        <v>50039</v>
      </c>
      <c r="B1400" t="s">
        <v>21</v>
      </c>
      <c r="C1400">
        <v>24.4</v>
      </c>
      <c r="D1400">
        <v>23.8</v>
      </c>
      <c r="E1400" s="2">
        <f>C1400*D1400 / 100</f>
        <v>5.8071999999999999</v>
      </c>
      <c r="F1400">
        <f>IF(F1399 &lt; 7, F1399 +1,1)</f>
        <v>6</v>
      </c>
      <c r="G1400" t="str">
        <f t="shared" si="21"/>
        <v/>
      </c>
    </row>
    <row r="1401" spans="1:7">
      <c r="A1401" s="1">
        <v>50040</v>
      </c>
      <c r="B1401" t="s">
        <v>29</v>
      </c>
      <c r="C1401">
        <v>18.5</v>
      </c>
      <c r="D1401">
        <v>6</v>
      </c>
      <c r="E1401" s="2">
        <f>C1401*D1401 / 100</f>
        <v>1.1100000000000001</v>
      </c>
      <c r="F1401">
        <f>IF(F1400 &lt; 7, F1400 +1,1)</f>
        <v>7</v>
      </c>
      <c r="G1401">
        <f t="shared" si="21"/>
        <v>153.30000000000001</v>
      </c>
    </row>
    <row r="1402" spans="1:7">
      <c r="A1402" s="1">
        <v>50041</v>
      </c>
      <c r="B1402" t="s">
        <v>36</v>
      </c>
      <c r="C1402">
        <v>24.1</v>
      </c>
      <c r="D1402">
        <v>21.5</v>
      </c>
      <c r="E1402" s="2">
        <f>C1402*D1402 / 100</f>
        <v>5.1814999999999998</v>
      </c>
      <c r="F1402">
        <f>IF(F1401 &lt; 7, F1401 +1,1)</f>
        <v>1</v>
      </c>
      <c r="G1402" t="str">
        <f t="shared" si="21"/>
        <v/>
      </c>
    </row>
    <row r="1403" spans="1:7">
      <c r="A1403" s="1">
        <v>50042</v>
      </c>
      <c r="B1403" t="s">
        <v>24</v>
      </c>
      <c r="C1403">
        <v>17.899999999999999</v>
      </c>
      <c r="D1403">
        <v>5.4</v>
      </c>
      <c r="E1403" s="2">
        <f>C1403*D1403 / 100</f>
        <v>0.96660000000000001</v>
      </c>
      <c r="F1403">
        <f>IF(F1402 &lt; 7, F1402 +1,1)</f>
        <v>2</v>
      </c>
      <c r="G1403" t="str">
        <f t="shared" si="21"/>
        <v/>
      </c>
    </row>
    <row r="1404" spans="1:7">
      <c r="A1404" s="1">
        <v>50043</v>
      </c>
      <c r="B1404" t="s">
        <v>24</v>
      </c>
      <c r="C1404">
        <v>15.8</v>
      </c>
      <c r="D1404">
        <v>7.4</v>
      </c>
      <c r="E1404" s="2">
        <f>C1404*D1404 / 100</f>
        <v>1.1692000000000002</v>
      </c>
      <c r="F1404">
        <f>IF(F1403 &lt; 7, F1403 +1,1)</f>
        <v>3</v>
      </c>
      <c r="G1404" t="str">
        <f t="shared" si="21"/>
        <v/>
      </c>
    </row>
    <row r="1405" spans="1:7">
      <c r="A1405" s="1">
        <v>50044</v>
      </c>
      <c r="B1405" t="s">
        <v>17</v>
      </c>
      <c r="C1405">
        <v>19.600000000000001</v>
      </c>
      <c r="D1405">
        <v>0.3</v>
      </c>
      <c r="E1405" s="2">
        <f>C1405*D1405 / 100</f>
        <v>5.8799999999999998E-2</v>
      </c>
      <c r="F1405">
        <f>IF(F1404 &lt; 7, F1404 +1,1)</f>
        <v>4</v>
      </c>
      <c r="G1405" t="str">
        <f t="shared" si="21"/>
        <v/>
      </c>
    </row>
    <row r="1406" spans="1:7">
      <c r="A1406" s="1">
        <v>50045</v>
      </c>
      <c r="B1406" t="s">
        <v>36</v>
      </c>
      <c r="C1406">
        <v>17.7</v>
      </c>
      <c r="D1406">
        <v>0</v>
      </c>
      <c r="E1406" s="2">
        <f>C1406*D1406 / 100</f>
        <v>0</v>
      </c>
      <c r="F1406">
        <f>IF(F1405 &lt; 7, F1405 +1,1)</f>
        <v>5</v>
      </c>
      <c r="G1406" t="str">
        <f t="shared" si="21"/>
        <v/>
      </c>
    </row>
    <row r="1407" spans="1:7">
      <c r="A1407" s="1">
        <v>50046</v>
      </c>
      <c r="B1407" t="s">
        <v>14</v>
      </c>
      <c r="C1407">
        <v>19.899999999999999</v>
      </c>
      <c r="D1407">
        <v>4.7</v>
      </c>
      <c r="E1407" s="2">
        <f>C1407*D1407 / 100</f>
        <v>0.93530000000000002</v>
      </c>
      <c r="F1407">
        <f>IF(F1406 &lt; 7, F1406 +1,1)</f>
        <v>6</v>
      </c>
      <c r="G1407" t="str">
        <f t="shared" si="21"/>
        <v/>
      </c>
    </row>
    <row r="1408" spans="1:7">
      <c r="A1408" s="1">
        <v>50047</v>
      </c>
      <c r="B1408" t="s">
        <v>10</v>
      </c>
      <c r="C1408">
        <v>10.6</v>
      </c>
      <c r="D1408">
        <v>4.8</v>
      </c>
      <c r="E1408" s="2">
        <f>C1408*D1408 / 100</f>
        <v>0.50879999999999992</v>
      </c>
      <c r="F1408">
        <f>IF(F1407 &lt; 7, F1407 +1,1)</f>
        <v>7</v>
      </c>
      <c r="G1408">
        <f t="shared" si="21"/>
        <v>125.6</v>
      </c>
    </row>
    <row r="1409" spans="1:7">
      <c r="A1409" s="1">
        <v>50048</v>
      </c>
      <c r="B1409" t="s">
        <v>36</v>
      </c>
      <c r="C1409">
        <v>25.6</v>
      </c>
      <c r="D1409">
        <v>17.399999999999999</v>
      </c>
      <c r="E1409" s="2">
        <f>C1409*D1409 / 100</f>
        <v>4.4543999999999997</v>
      </c>
      <c r="F1409">
        <f>IF(F1408 &lt; 7, F1408 +1,1)</f>
        <v>1</v>
      </c>
      <c r="G1409" t="str">
        <f t="shared" si="21"/>
        <v/>
      </c>
    </row>
    <row r="1410" spans="1:7">
      <c r="A1410" s="1">
        <v>50049</v>
      </c>
      <c r="B1410" t="s">
        <v>26</v>
      </c>
      <c r="C1410">
        <v>22.4</v>
      </c>
      <c r="D1410">
        <v>7.7</v>
      </c>
      <c r="E1410" s="2">
        <f>C1410*D1410 / 100</f>
        <v>1.7247999999999999</v>
      </c>
      <c r="F1410">
        <f>IF(F1409 &lt; 7, F1409 +1,1)</f>
        <v>2</v>
      </c>
      <c r="G1410" t="str">
        <f t="shared" si="21"/>
        <v/>
      </c>
    </row>
    <row r="1411" spans="1:7">
      <c r="A1411" s="1">
        <v>50050</v>
      </c>
      <c r="B1411" t="s">
        <v>22</v>
      </c>
      <c r="C1411">
        <v>14.5</v>
      </c>
      <c r="D1411">
        <v>3.8</v>
      </c>
      <c r="E1411" s="2">
        <f>C1411*D1411 / 100</f>
        <v>0.55099999999999993</v>
      </c>
      <c r="F1411">
        <f>IF(F1410 &lt; 7, F1410 +1,1)</f>
        <v>3</v>
      </c>
      <c r="G1411" t="str">
        <f t="shared" si="21"/>
        <v/>
      </c>
    </row>
    <row r="1412" spans="1:7">
      <c r="A1412" s="1">
        <v>50051</v>
      </c>
      <c r="B1412" t="s">
        <v>26</v>
      </c>
      <c r="C1412">
        <v>15</v>
      </c>
      <c r="D1412">
        <v>4.2</v>
      </c>
      <c r="E1412" s="2">
        <f>C1412*D1412 / 100</f>
        <v>0.63</v>
      </c>
      <c r="F1412">
        <f>IF(F1411 &lt; 7, F1411 +1,1)</f>
        <v>4</v>
      </c>
      <c r="G1412" t="str">
        <f t="shared" si="21"/>
        <v/>
      </c>
    </row>
    <row r="1413" spans="1:7">
      <c r="A1413" s="1">
        <v>50052</v>
      </c>
      <c r="B1413" t="s">
        <v>19</v>
      </c>
      <c r="C1413">
        <v>24</v>
      </c>
      <c r="D1413">
        <v>11.5</v>
      </c>
      <c r="E1413" s="2">
        <f>C1413*D1413 / 100</f>
        <v>2.76</v>
      </c>
      <c r="F1413">
        <f>IF(F1412 &lt; 7, F1412 +1,1)</f>
        <v>5</v>
      </c>
      <c r="G1413" t="str">
        <f t="shared" si="21"/>
        <v/>
      </c>
    </row>
    <row r="1414" spans="1:7">
      <c r="A1414" s="1">
        <v>50053</v>
      </c>
      <c r="B1414" t="s">
        <v>6</v>
      </c>
      <c r="C1414">
        <v>20.7</v>
      </c>
      <c r="D1414">
        <v>2.9</v>
      </c>
      <c r="E1414" s="2">
        <f>C1414*D1414 / 100</f>
        <v>0.60029999999999994</v>
      </c>
      <c r="F1414">
        <f>IF(F1413 &lt; 7, F1413 +1,1)</f>
        <v>6</v>
      </c>
      <c r="G1414" t="str">
        <f t="shared" si="21"/>
        <v/>
      </c>
    </row>
    <row r="1415" spans="1:7">
      <c r="A1415" s="1">
        <v>50054</v>
      </c>
      <c r="B1415" t="s">
        <v>5</v>
      </c>
      <c r="C1415">
        <v>13.5</v>
      </c>
      <c r="D1415">
        <v>0.7</v>
      </c>
      <c r="E1415" s="2">
        <f>C1415*D1415 / 100</f>
        <v>9.4499999999999987E-2</v>
      </c>
      <c r="F1415">
        <f>IF(F1414 &lt; 7, F1414 +1,1)</f>
        <v>7</v>
      </c>
      <c r="G1415">
        <f t="shared" si="21"/>
        <v>135.69999999999999</v>
      </c>
    </row>
    <row r="1416" spans="1:7">
      <c r="A1416" s="1">
        <v>50055</v>
      </c>
      <c r="B1416" t="s">
        <v>36</v>
      </c>
      <c r="C1416">
        <v>23.7</v>
      </c>
      <c r="D1416">
        <v>13.1</v>
      </c>
      <c r="E1416" s="2">
        <f>C1416*D1416 / 100</f>
        <v>3.1046999999999998</v>
      </c>
      <c r="F1416">
        <f>IF(F1415 &lt; 7, F1415 +1,1)</f>
        <v>1</v>
      </c>
      <c r="G1416" t="str">
        <f t="shared" si="21"/>
        <v/>
      </c>
    </row>
    <row r="1417" spans="1:7">
      <c r="A1417" s="1">
        <v>50056</v>
      </c>
      <c r="B1417" t="s">
        <v>21</v>
      </c>
      <c r="C1417">
        <v>12.1</v>
      </c>
      <c r="D1417">
        <v>36</v>
      </c>
      <c r="E1417" s="2">
        <f>C1417*D1417 / 100</f>
        <v>4.3559999999999999</v>
      </c>
      <c r="F1417">
        <f>IF(F1416 &lt; 7, F1416 +1,1)</f>
        <v>2</v>
      </c>
      <c r="G1417" t="str">
        <f t="shared" ref="G1417:G1480" si="22">IF(F1417=7, SUM(C1411:C1417), "")</f>
        <v/>
      </c>
    </row>
    <row r="1418" spans="1:7">
      <c r="A1418" s="1">
        <v>50057</v>
      </c>
      <c r="B1418" t="s">
        <v>19</v>
      </c>
      <c r="C1418">
        <v>21.8</v>
      </c>
      <c r="D1418">
        <v>10.9</v>
      </c>
      <c r="E1418" s="2">
        <f>C1418*D1418 / 100</f>
        <v>2.3761999999999999</v>
      </c>
      <c r="F1418">
        <f>IF(F1417 &lt; 7, F1417 +1,1)</f>
        <v>3</v>
      </c>
      <c r="G1418" t="str">
        <f t="shared" si="22"/>
        <v/>
      </c>
    </row>
    <row r="1419" spans="1:7">
      <c r="A1419" s="1">
        <v>50058</v>
      </c>
      <c r="B1419" t="s">
        <v>24</v>
      </c>
      <c r="C1419">
        <v>17.399999999999999</v>
      </c>
      <c r="D1419">
        <v>0</v>
      </c>
      <c r="E1419" s="2">
        <f>C1419*D1419 / 100</f>
        <v>0</v>
      </c>
      <c r="F1419">
        <f>IF(F1418 &lt; 7, F1418 +1,1)</f>
        <v>4</v>
      </c>
      <c r="G1419" t="str">
        <f t="shared" si="22"/>
        <v/>
      </c>
    </row>
    <row r="1420" spans="1:7">
      <c r="A1420" s="1">
        <v>50059</v>
      </c>
      <c r="B1420" t="s">
        <v>30</v>
      </c>
      <c r="C1420">
        <v>15.6</v>
      </c>
      <c r="D1420">
        <v>0</v>
      </c>
      <c r="E1420" s="2">
        <f>C1420*D1420 / 100</f>
        <v>0</v>
      </c>
      <c r="F1420">
        <f>IF(F1419 &lt; 7, F1419 +1,1)</f>
        <v>5</v>
      </c>
      <c r="G1420" t="str">
        <f t="shared" si="22"/>
        <v/>
      </c>
    </row>
    <row r="1421" spans="1:7">
      <c r="A1421" s="1">
        <v>50060</v>
      </c>
      <c r="B1421" t="s">
        <v>19</v>
      </c>
      <c r="C1421">
        <v>13.7</v>
      </c>
      <c r="D1421">
        <v>0</v>
      </c>
      <c r="E1421" s="2">
        <f>C1421*D1421 / 100</f>
        <v>0</v>
      </c>
      <c r="F1421">
        <f>IF(F1420 &lt; 7, F1420 +1,1)</f>
        <v>6</v>
      </c>
      <c r="G1421" t="str">
        <f t="shared" si="22"/>
        <v/>
      </c>
    </row>
    <row r="1422" spans="1:7">
      <c r="A1422" s="1">
        <v>50061</v>
      </c>
      <c r="B1422" t="s">
        <v>21</v>
      </c>
      <c r="C1422">
        <v>24.7</v>
      </c>
      <c r="D1422">
        <v>16.2</v>
      </c>
      <c r="E1422" s="2">
        <f>C1422*D1422 / 100</f>
        <v>4.0014000000000003</v>
      </c>
      <c r="F1422">
        <f>IF(F1421 &lt; 7, F1421 +1,1)</f>
        <v>7</v>
      </c>
      <c r="G1422">
        <f t="shared" si="22"/>
        <v>129</v>
      </c>
    </row>
    <row r="1423" spans="1:7">
      <c r="A1423" s="1">
        <v>50062</v>
      </c>
      <c r="B1423" t="s">
        <v>33</v>
      </c>
      <c r="C1423">
        <v>25.3</v>
      </c>
      <c r="D1423">
        <v>14.2</v>
      </c>
      <c r="E1423" s="2">
        <f>C1423*D1423 / 100</f>
        <v>3.5926</v>
      </c>
      <c r="F1423">
        <f>IF(F1422 &lt; 7, F1422 +1,1)</f>
        <v>1</v>
      </c>
      <c r="G1423" t="str">
        <f t="shared" si="22"/>
        <v/>
      </c>
    </row>
    <row r="1424" spans="1:7">
      <c r="A1424" s="1">
        <v>50063</v>
      </c>
      <c r="B1424" t="s">
        <v>33</v>
      </c>
      <c r="C1424">
        <v>18.399999999999999</v>
      </c>
      <c r="D1424">
        <v>0</v>
      </c>
      <c r="E1424" s="2">
        <f>C1424*D1424 / 100</f>
        <v>0</v>
      </c>
      <c r="F1424">
        <f>IF(F1423 &lt; 7, F1423 +1,1)</f>
        <v>2</v>
      </c>
      <c r="G1424" t="str">
        <f t="shared" si="22"/>
        <v/>
      </c>
    </row>
    <row r="1425" spans="1:7">
      <c r="A1425" s="1">
        <v>50064</v>
      </c>
      <c r="B1425" t="s">
        <v>11</v>
      </c>
      <c r="C1425">
        <v>10.199999999999999</v>
      </c>
      <c r="D1425">
        <v>0</v>
      </c>
      <c r="E1425" s="2">
        <f>C1425*D1425 / 100</f>
        <v>0</v>
      </c>
      <c r="F1425">
        <f>IF(F1424 &lt; 7, F1424 +1,1)</f>
        <v>3</v>
      </c>
      <c r="G1425" t="str">
        <f t="shared" si="22"/>
        <v/>
      </c>
    </row>
    <row r="1426" spans="1:7">
      <c r="A1426" s="1">
        <v>50065</v>
      </c>
      <c r="B1426" t="s">
        <v>32</v>
      </c>
      <c r="C1426">
        <v>26.9</v>
      </c>
      <c r="D1426">
        <v>0</v>
      </c>
      <c r="E1426" s="2">
        <f>C1426*D1426 / 100</f>
        <v>0</v>
      </c>
      <c r="F1426">
        <f>IF(F1425 &lt; 7, F1425 +1,1)</f>
        <v>4</v>
      </c>
      <c r="G1426" t="str">
        <f t="shared" si="22"/>
        <v/>
      </c>
    </row>
    <row r="1427" spans="1:7">
      <c r="A1427" s="1">
        <v>50066</v>
      </c>
      <c r="B1427" t="s">
        <v>22</v>
      </c>
      <c r="C1427">
        <v>28.2</v>
      </c>
      <c r="D1427">
        <v>0</v>
      </c>
      <c r="E1427" s="2">
        <f>C1427*D1427 / 100</f>
        <v>0</v>
      </c>
      <c r="F1427">
        <f>IF(F1426 &lt; 7, F1426 +1,1)</f>
        <v>5</v>
      </c>
      <c r="G1427" t="str">
        <f t="shared" si="22"/>
        <v/>
      </c>
    </row>
    <row r="1428" spans="1:7">
      <c r="A1428" s="1">
        <v>50067</v>
      </c>
      <c r="B1428" t="s">
        <v>16</v>
      </c>
      <c r="C1428">
        <v>15.9</v>
      </c>
      <c r="D1428">
        <v>0</v>
      </c>
      <c r="E1428" s="2">
        <f>C1428*D1428 / 100</f>
        <v>0</v>
      </c>
      <c r="F1428">
        <f>IF(F1427 &lt; 7, F1427 +1,1)</f>
        <v>6</v>
      </c>
      <c r="G1428" t="str">
        <f t="shared" si="22"/>
        <v/>
      </c>
    </row>
    <row r="1429" spans="1:7">
      <c r="A1429" s="1">
        <v>50068</v>
      </c>
      <c r="B1429" t="s">
        <v>21</v>
      </c>
      <c r="C1429">
        <v>19.7</v>
      </c>
      <c r="D1429">
        <v>0</v>
      </c>
      <c r="E1429" s="2">
        <f>C1429*D1429 / 100</f>
        <v>0</v>
      </c>
      <c r="F1429">
        <f>IF(F1428 &lt; 7, F1428 +1,1)</f>
        <v>7</v>
      </c>
      <c r="G1429">
        <f t="shared" si="22"/>
        <v>144.60000000000002</v>
      </c>
    </row>
    <row r="1430" spans="1:7">
      <c r="A1430" s="1">
        <v>50069</v>
      </c>
      <c r="B1430" t="s">
        <v>16</v>
      </c>
      <c r="C1430">
        <v>16</v>
      </c>
      <c r="D1430">
        <v>0</v>
      </c>
      <c r="E1430" s="2">
        <f>C1430*D1430 / 100</f>
        <v>0</v>
      </c>
      <c r="F1430">
        <f>IF(F1429 &lt; 7, F1429 +1,1)</f>
        <v>1</v>
      </c>
      <c r="G1430" t="str">
        <f t="shared" si="22"/>
        <v/>
      </c>
    </row>
    <row r="1431" spans="1:7">
      <c r="A1431" s="1">
        <v>50070</v>
      </c>
      <c r="B1431" t="s">
        <v>30</v>
      </c>
      <c r="C1431">
        <v>20.8</v>
      </c>
      <c r="D1431">
        <v>0</v>
      </c>
      <c r="E1431" s="2">
        <f>C1431*D1431 / 100</f>
        <v>0</v>
      </c>
      <c r="F1431">
        <f>IF(F1430 &lt; 7, F1430 +1,1)</f>
        <v>2</v>
      </c>
      <c r="G1431" t="str">
        <f t="shared" si="22"/>
        <v/>
      </c>
    </row>
    <row r="1432" spans="1:7">
      <c r="A1432" s="1">
        <v>50071</v>
      </c>
      <c r="B1432" t="s">
        <v>6</v>
      </c>
      <c r="C1432">
        <v>12.5</v>
      </c>
      <c r="D1432">
        <v>0</v>
      </c>
      <c r="E1432" s="2">
        <f>C1432*D1432 / 100</f>
        <v>0</v>
      </c>
      <c r="F1432">
        <f>IF(F1431 &lt; 7, F1431 +1,1)</f>
        <v>3</v>
      </c>
      <c r="G1432" t="str">
        <f t="shared" si="22"/>
        <v/>
      </c>
    </row>
    <row r="1433" spans="1:7">
      <c r="A1433" s="1">
        <v>50072</v>
      </c>
      <c r="B1433" t="s">
        <v>33</v>
      </c>
      <c r="C1433">
        <v>12.7</v>
      </c>
      <c r="D1433">
        <v>2.4</v>
      </c>
      <c r="E1433" s="2">
        <f>C1433*D1433 / 100</f>
        <v>0.30479999999999996</v>
      </c>
      <c r="F1433">
        <f>IF(F1432 &lt; 7, F1432 +1,1)</f>
        <v>4</v>
      </c>
      <c r="G1433" t="str">
        <f t="shared" si="22"/>
        <v/>
      </c>
    </row>
    <row r="1434" spans="1:7">
      <c r="A1434" s="1">
        <v>50073</v>
      </c>
      <c r="B1434" t="s">
        <v>29</v>
      </c>
      <c r="C1434">
        <v>23.5</v>
      </c>
      <c r="D1434">
        <v>11.5</v>
      </c>
      <c r="E1434" s="2">
        <f>C1434*D1434 / 100</f>
        <v>2.7025000000000001</v>
      </c>
      <c r="F1434">
        <f>IF(F1433 &lt; 7, F1433 +1,1)</f>
        <v>5</v>
      </c>
      <c r="G1434" t="str">
        <f t="shared" si="22"/>
        <v/>
      </c>
    </row>
    <row r="1435" spans="1:7">
      <c r="A1435" s="1">
        <v>50074</v>
      </c>
      <c r="B1435" t="s">
        <v>11</v>
      </c>
      <c r="C1435">
        <v>17.8</v>
      </c>
      <c r="D1435">
        <v>1.8</v>
      </c>
      <c r="E1435" s="2">
        <f>C1435*D1435 / 100</f>
        <v>0.32040000000000002</v>
      </c>
      <c r="F1435">
        <f>IF(F1434 &lt; 7, F1434 +1,1)</f>
        <v>6</v>
      </c>
      <c r="G1435" t="str">
        <f t="shared" si="22"/>
        <v/>
      </c>
    </row>
    <row r="1436" spans="1:7">
      <c r="A1436" s="1">
        <v>50075</v>
      </c>
      <c r="B1436" t="s">
        <v>9</v>
      </c>
      <c r="C1436">
        <v>11</v>
      </c>
      <c r="D1436">
        <v>0</v>
      </c>
      <c r="E1436" s="2">
        <f>C1436*D1436 / 100</f>
        <v>0</v>
      </c>
      <c r="F1436">
        <f>IF(F1435 &lt; 7, F1435 +1,1)</f>
        <v>7</v>
      </c>
      <c r="G1436">
        <f t="shared" si="22"/>
        <v>114.3</v>
      </c>
    </row>
    <row r="1437" spans="1:7">
      <c r="A1437" s="1">
        <v>50076</v>
      </c>
      <c r="B1437" t="s">
        <v>34</v>
      </c>
      <c r="C1437">
        <v>21.3</v>
      </c>
      <c r="D1437">
        <v>5.2</v>
      </c>
      <c r="E1437" s="2">
        <f>C1437*D1437 / 100</f>
        <v>1.1076000000000001</v>
      </c>
      <c r="F1437">
        <f>IF(F1436 &lt; 7, F1436 +1,1)</f>
        <v>1</v>
      </c>
      <c r="G1437" t="str">
        <f t="shared" si="22"/>
        <v/>
      </c>
    </row>
    <row r="1438" spans="1:7">
      <c r="A1438" s="1">
        <v>50077</v>
      </c>
      <c r="B1438" t="s">
        <v>16</v>
      </c>
      <c r="C1438">
        <v>19.600000000000001</v>
      </c>
      <c r="D1438">
        <v>8.1</v>
      </c>
      <c r="E1438" s="2">
        <f>C1438*D1438 / 100</f>
        <v>1.5875999999999999</v>
      </c>
      <c r="F1438">
        <f>IF(F1437 &lt; 7, F1437 +1,1)</f>
        <v>2</v>
      </c>
      <c r="G1438" t="str">
        <f t="shared" si="22"/>
        <v/>
      </c>
    </row>
    <row r="1439" spans="1:7">
      <c r="A1439" s="1">
        <v>50078</v>
      </c>
      <c r="B1439" t="s">
        <v>9</v>
      </c>
      <c r="C1439">
        <v>25.7</v>
      </c>
      <c r="D1439">
        <v>4.2</v>
      </c>
      <c r="E1439" s="2">
        <f>C1439*D1439 / 100</f>
        <v>1.0793999999999999</v>
      </c>
      <c r="F1439">
        <f>IF(F1438 &lt; 7, F1438 +1,1)</f>
        <v>3</v>
      </c>
      <c r="G1439" t="str">
        <f t="shared" si="22"/>
        <v/>
      </c>
    </row>
    <row r="1440" spans="1:7">
      <c r="A1440" s="1">
        <v>50079</v>
      </c>
      <c r="B1440" t="s">
        <v>21</v>
      </c>
      <c r="C1440">
        <v>20.9</v>
      </c>
      <c r="D1440">
        <v>28.6</v>
      </c>
      <c r="E1440" s="2">
        <f>C1440*D1440 / 100</f>
        <v>5.9774000000000003</v>
      </c>
      <c r="F1440">
        <f>IF(F1439 &lt; 7, F1439 +1,1)</f>
        <v>4</v>
      </c>
      <c r="G1440" t="str">
        <f t="shared" si="22"/>
        <v/>
      </c>
    </row>
    <row r="1441" spans="1:7">
      <c r="A1441" s="1">
        <v>50080</v>
      </c>
      <c r="B1441" t="s">
        <v>36</v>
      </c>
      <c r="C1441">
        <v>26.4</v>
      </c>
      <c r="D1441">
        <v>3.2</v>
      </c>
      <c r="E1441" s="2">
        <f>C1441*D1441 / 100</f>
        <v>0.8448</v>
      </c>
      <c r="F1441">
        <f>IF(F1440 &lt; 7, F1440 +1,1)</f>
        <v>5</v>
      </c>
      <c r="G1441" t="str">
        <f t="shared" si="22"/>
        <v/>
      </c>
    </row>
    <row r="1442" spans="1:7">
      <c r="A1442" s="1">
        <v>50081</v>
      </c>
      <c r="B1442" t="s">
        <v>36</v>
      </c>
      <c r="C1442">
        <v>26.5</v>
      </c>
      <c r="D1442">
        <v>13.1</v>
      </c>
      <c r="E1442" s="2">
        <f>C1442*D1442 / 100</f>
        <v>3.4714999999999998</v>
      </c>
      <c r="F1442">
        <f>IF(F1441 &lt; 7, F1441 +1,1)</f>
        <v>6</v>
      </c>
      <c r="G1442" t="str">
        <f t="shared" si="22"/>
        <v/>
      </c>
    </row>
    <row r="1443" spans="1:7">
      <c r="A1443" s="1">
        <v>50082</v>
      </c>
      <c r="B1443" t="s">
        <v>22</v>
      </c>
      <c r="C1443">
        <v>11.7</v>
      </c>
      <c r="D1443">
        <v>0</v>
      </c>
      <c r="E1443" s="2">
        <f>C1443*D1443 / 100</f>
        <v>0</v>
      </c>
      <c r="F1443">
        <f>IF(F1442 &lt; 7, F1442 +1,1)</f>
        <v>7</v>
      </c>
      <c r="G1443">
        <f t="shared" si="22"/>
        <v>152.1</v>
      </c>
    </row>
    <row r="1444" spans="1:7">
      <c r="A1444" s="1">
        <v>50083</v>
      </c>
      <c r="B1444" t="s">
        <v>34</v>
      </c>
      <c r="C1444">
        <v>24.7</v>
      </c>
      <c r="D1444">
        <v>0.3</v>
      </c>
      <c r="E1444" s="2">
        <f>C1444*D1444 / 100</f>
        <v>7.4099999999999999E-2</v>
      </c>
      <c r="F1444">
        <f>IF(F1443 &lt; 7, F1443 +1,1)</f>
        <v>1</v>
      </c>
      <c r="G1444" t="str">
        <f t="shared" si="22"/>
        <v/>
      </c>
    </row>
    <row r="1445" spans="1:7">
      <c r="A1445" s="1">
        <v>50084</v>
      </c>
      <c r="B1445" t="s">
        <v>26</v>
      </c>
      <c r="C1445">
        <v>24.4</v>
      </c>
      <c r="D1445">
        <v>9.6</v>
      </c>
      <c r="E1445" s="2">
        <f>C1445*D1445 / 100</f>
        <v>2.3423999999999996</v>
      </c>
      <c r="F1445">
        <f>IF(F1444 &lt; 7, F1444 +1,1)</f>
        <v>2</v>
      </c>
      <c r="G1445" t="str">
        <f t="shared" si="22"/>
        <v/>
      </c>
    </row>
    <row r="1446" spans="1:7">
      <c r="A1446" s="1">
        <v>50085</v>
      </c>
      <c r="B1446" t="s">
        <v>36</v>
      </c>
      <c r="C1446">
        <v>19</v>
      </c>
      <c r="D1446">
        <v>28.8</v>
      </c>
      <c r="E1446" s="2">
        <f>C1446*D1446 / 100</f>
        <v>5.4720000000000004</v>
      </c>
      <c r="F1446">
        <f>IF(F1445 &lt; 7, F1445 +1,1)</f>
        <v>3</v>
      </c>
      <c r="G1446" t="str">
        <f t="shared" si="22"/>
        <v/>
      </c>
    </row>
    <row r="1447" spans="1:7">
      <c r="A1447" s="1">
        <v>50086</v>
      </c>
      <c r="B1447" t="s">
        <v>21</v>
      </c>
      <c r="C1447">
        <v>13.7</v>
      </c>
      <c r="D1447">
        <v>19.3</v>
      </c>
      <c r="E1447" s="2">
        <f>C1447*D1447 / 100</f>
        <v>2.6440999999999999</v>
      </c>
      <c r="F1447">
        <f>IF(F1446 &lt; 7, F1446 +1,1)</f>
        <v>4</v>
      </c>
      <c r="G1447" t="str">
        <f t="shared" si="22"/>
        <v/>
      </c>
    </row>
    <row r="1448" spans="1:7">
      <c r="A1448" s="1">
        <v>50087</v>
      </c>
      <c r="B1448" t="s">
        <v>21</v>
      </c>
      <c r="C1448">
        <v>28.9</v>
      </c>
      <c r="D1448">
        <v>20.399999999999999</v>
      </c>
      <c r="E1448" s="2">
        <f>C1448*D1448 / 100</f>
        <v>5.8955999999999991</v>
      </c>
      <c r="F1448">
        <f>IF(F1447 &lt; 7, F1447 +1,1)</f>
        <v>5</v>
      </c>
      <c r="G1448" t="str">
        <f t="shared" si="22"/>
        <v/>
      </c>
    </row>
    <row r="1449" spans="1:7">
      <c r="A1449" s="1">
        <v>50088</v>
      </c>
      <c r="B1449" t="s">
        <v>18</v>
      </c>
      <c r="C1449">
        <v>25.2</v>
      </c>
      <c r="D1449">
        <v>0</v>
      </c>
      <c r="E1449" s="2">
        <f>C1449*D1449 / 100</f>
        <v>0</v>
      </c>
      <c r="F1449">
        <f>IF(F1448 &lt; 7, F1448 +1,1)</f>
        <v>6</v>
      </c>
      <c r="G1449" t="str">
        <f t="shared" si="22"/>
        <v/>
      </c>
    </row>
    <row r="1450" spans="1:7">
      <c r="A1450" s="1">
        <v>50089</v>
      </c>
      <c r="B1450" t="s">
        <v>9</v>
      </c>
      <c r="C1450">
        <v>15.4</v>
      </c>
      <c r="D1450">
        <v>9</v>
      </c>
      <c r="E1450" s="2">
        <f>C1450*D1450 / 100</f>
        <v>1.3859999999999999</v>
      </c>
      <c r="F1450">
        <f>IF(F1449 &lt; 7, F1449 +1,1)</f>
        <v>7</v>
      </c>
      <c r="G1450">
        <f t="shared" si="22"/>
        <v>151.29999999999998</v>
      </c>
    </row>
    <row r="1451" spans="1:7">
      <c r="A1451" s="1">
        <v>50090</v>
      </c>
      <c r="B1451" t="s">
        <v>31</v>
      </c>
      <c r="C1451">
        <v>24.1</v>
      </c>
      <c r="D1451">
        <v>0.3</v>
      </c>
      <c r="E1451" s="2">
        <f>C1451*D1451 / 100</f>
        <v>7.2300000000000003E-2</v>
      </c>
      <c r="F1451">
        <f>IF(F1450 &lt; 7, F1450 +1,1)</f>
        <v>1</v>
      </c>
      <c r="G1451" t="str">
        <f t="shared" si="22"/>
        <v/>
      </c>
    </row>
    <row r="1452" spans="1:7">
      <c r="A1452" s="1">
        <v>50091</v>
      </c>
      <c r="B1452" t="s">
        <v>24</v>
      </c>
      <c r="C1452">
        <v>27.7</v>
      </c>
      <c r="D1452">
        <v>0</v>
      </c>
      <c r="E1452" s="2">
        <f>C1452*D1452 / 100</f>
        <v>0</v>
      </c>
      <c r="F1452">
        <f>IF(F1451 &lt; 7, F1451 +1,1)</f>
        <v>2</v>
      </c>
      <c r="G1452" t="str">
        <f t="shared" si="22"/>
        <v/>
      </c>
    </row>
    <row r="1453" spans="1:7">
      <c r="A1453" s="1">
        <v>50092</v>
      </c>
      <c r="B1453" t="s">
        <v>9</v>
      </c>
      <c r="C1453">
        <v>19.600000000000001</v>
      </c>
      <c r="D1453">
        <v>21.1</v>
      </c>
      <c r="E1453" s="2">
        <f>C1453*D1453 / 100</f>
        <v>4.1356000000000002</v>
      </c>
      <c r="F1453">
        <f>IF(F1452 &lt; 7, F1452 +1,1)</f>
        <v>3</v>
      </c>
      <c r="G1453" t="str">
        <f t="shared" si="22"/>
        <v/>
      </c>
    </row>
    <row r="1454" spans="1:7">
      <c r="A1454" s="1">
        <v>50093</v>
      </c>
      <c r="B1454" t="s">
        <v>6</v>
      </c>
      <c r="C1454">
        <v>29</v>
      </c>
      <c r="D1454">
        <v>3.2</v>
      </c>
      <c r="E1454" s="2">
        <f>C1454*D1454 / 100</f>
        <v>0.92800000000000016</v>
      </c>
      <c r="F1454">
        <f>IF(F1453 &lt; 7, F1453 +1,1)</f>
        <v>4</v>
      </c>
      <c r="G1454" t="str">
        <f t="shared" si="22"/>
        <v/>
      </c>
    </row>
    <row r="1455" spans="1:7">
      <c r="A1455" s="1">
        <v>50094</v>
      </c>
      <c r="B1455" t="s">
        <v>20</v>
      </c>
      <c r="C1455">
        <v>10.3</v>
      </c>
      <c r="D1455">
        <v>0.7</v>
      </c>
      <c r="E1455" s="2">
        <f>C1455*D1455 / 100</f>
        <v>7.2099999999999997E-2</v>
      </c>
      <c r="F1455">
        <f>IF(F1454 &lt; 7, F1454 +1,1)</f>
        <v>5</v>
      </c>
      <c r="G1455" t="str">
        <f t="shared" si="22"/>
        <v/>
      </c>
    </row>
    <row r="1456" spans="1:7">
      <c r="A1456" s="1">
        <v>50095</v>
      </c>
      <c r="B1456" t="s">
        <v>21</v>
      </c>
      <c r="C1456">
        <v>11</v>
      </c>
      <c r="D1456">
        <v>40.200000000000003</v>
      </c>
      <c r="E1456" s="2">
        <f>C1456*D1456 / 100</f>
        <v>4.4220000000000006</v>
      </c>
      <c r="F1456">
        <f>IF(F1455 &lt; 7, F1455 +1,1)</f>
        <v>6</v>
      </c>
      <c r="G1456" t="str">
        <f t="shared" si="22"/>
        <v/>
      </c>
    </row>
    <row r="1457" spans="1:7">
      <c r="A1457" s="1">
        <v>50096</v>
      </c>
      <c r="B1457" t="s">
        <v>9</v>
      </c>
      <c r="C1457">
        <v>28.6</v>
      </c>
      <c r="D1457">
        <v>0.6</v>
      </c>
      <c r="E1457" s="2">
        <f>C1457*D1457 / 100</f>
        <v>0.1716</v>
      </c>
      <c r="F1457">
        <f>IF(F1456 &lt; 7, F1456 +1,1)</f>
        <v>7</v>
      </c>
      <c r="G1457">
        <f t="shared" si="22"/>
        <v>150.30000000000001</v>
      </c>
    </row>
    <row r="1458" spans="1:7">
      <c r="A1458" s="1">
        <v>50097</v>
      </c>
      <c r="B1458" t="s">
        <v>23</v>
      </c>
      <c r="C1458">
        <v>22.5</v>
      </c>
      <c r="D1458">
        <v>1</v>
      </c>
      <c r="E1458" s="2">
        <f>C1458*D1458 / 100</f>
        <v>0.22500000000000001</v>
      </c>
      <c r="F1458">
        <f>IF(F1457 &lt; 7, F1457 +1,1)</f>
        <v>1</v>
      </c>
      <c r="G1458" t="str">
        <f t="shared" si="22"/>
        <v/>
      </c>
    </row>
    <row r="1459" spans="1:7">
      <c r="A1459" s="1">
        <v>50098</v>
      </c>
      <c r="B1459" t="s">
        <v>34</v>
      </c>
      <c r="C1459">
        <v>19.600000000000001</v>
      </c>
      <c r="D1459">
        <v>0</v>
      </c>
      <c r="E1459" s="2">
        <f>C1459*D1459 / 100</f>
        <v>0</v>
      </c>
      <c r="F1459">
        <f>IF(F1458 &lt; 7, F1458 +1,1)</f>
        <v>2</v>
      </c>
      <c r="G1459" t="str">
        <f t="shared" si="22"/>
        <v/>
      </c>
    </row>
    <row r="1460" spans="1:7">
      <c r="A1460" s="1">
        <v>50099</v>
      </c>
      <c r="B1460" t="s">
        <v>5</v>
      </c>
      <c r="C1460">
        <v>19.899999999999999</v>
      </c>
      <c r="D1460">
        <v>0</v>
      </c>
      <c r="E1460" s="2">
        <f>C1460*D1460 / 100</f>
        <v>0</v>
      </c>
      <c r="F1460">
        <f>IF(F1459 &lt; 7, F1459 +1,1)</f>
        <v>3</v>
      </c>
      <c r="G1460" t="str">
        <f t="shared" si="22"/>
        <v/>
      </c>
    </row>
    <row r="1461" spans="1:7">
      <c r="A1461" s="1">
        <v>50100</v>
      </c>
      <c r="B1461" t="s">
        <v>30</v>
      </c>
      <c r="C1461">
        <v>21.7</v>
      </c>
      <c r="D1461">
        <v>9.4</v>
      </c>
      <c r="E1461" s="2">
        <f>C1461*D1461 / 100</f>
        <v>2.0398000000000001</v>
      </c>
      <c r="F1461">
        <f>IF(F1460 &lt; 7, F1460 +1,1)</f>
        <v>4</v>
      </c>
      <c r="G1461" t="str">
        <f t="shared" si="22"/>
        <v/>
      </c>
    </row>
    <row r="1462" spans="1:7">
      <c r="A1462" s="1">
        <v>50101</v>
      </c>
      <c r="B1462" t="s">
        <v>34</v>
      </c>
      <c r="C1462">
        <v>15.3</v>
      </c>
      <c r="D1462">
        <v>0</v>
      </c>
      <c r="E1462" s="2">
        <f>C1462*D1462 / 100</f>
        <v>0</v>
      </c>
      <c r="F1462">
        <f>IF(F1461 &lt; 7, F1461 +1,1)</f>
        <v>5</v>
      </c>
      <c r="G1462" t="str">
        <f t="shared" si="22"/>
        <v/>
      </c>
    </row>
    <row r="1463" spans="1:7">
      <c r="A1463" s="1">
        <v>50102</v>
      </c>
      <c r="B1463" t="s">
        <v>33</v>
      </c>
      <c r="C1463">
        <v>20.9</v>
      </c>
      <c r="D1463">
        <v>12.4</v>
      </c>
      <c r="E1463" s="2">
        <f>C1463*D1463 / 100</f>
        <v>2.5915999999999997</v>
      </c>
      <c r="F1463">
        <f>IF(F1462 &lt; 7, F1462 +1,1)</f>
        <v>6</v>
      </c>
      <c r="G1463" t="str">
        <f t="shared" si="22"/>
        <v/>
      </c>
    </row>
    <row r="1464" spans="1:7">
      <c r="A1464" s="1">
        <v>50103</v>
      </c>
      <c r="B1464" t="s">
        <v>10</v>
      </c>
      <c r="C1464">
        <v>17</v>
      </c>
      <c r="D1464">
        <v>0</v>
      </c>
      <c r="E1464" s="2">
        <f>C1464*D1464 / 100</f>
        <v>0</v>
      </c>
      <c r="F1464">
        <f>IF(F1463 &lt; 7, F1463 +1,1)</f>
        <v>7</v>
      </c>
      <c r="G1464">
        <f t="shared" si="22"/>
        <v>136.9</v>
      </c>
    </row>
    <row r="1465" spans="1:7">
      <c r="A1465" s="1">
        <v>50104</v>
      </c>
      <c r="B1465" t="s">
        <v>30</v>
      </c>
      <c r="C1465">
        <v>25.8</v>
      </c>
      <c r="D1465">
        <v>1.4</v>
      </c>
      <c r="E1465" s="2">
        <f>C1465*D1465 / 100</f>
        <v>0.36119999999999997</v>
      </c>
      <c r="F1465">
        <f>IF(F1464 &lt; 7, F1464 +1,1)</f>
        <v>1</v>
      </c>
      <c r="G1465" t="str">
        <f t="shared" si="22"/>
        <v/>
      </c>
    </row>
    <row r="1466" spans="1:7">
      <c r="A1466" s="1">
        <v>50105</v>
      </c>
      <c r="B1466" t="s">
        <v>14</v>
      </c>
      <c r="C1466">
        <v>19.100000000000001</v>
      </c>
      <c r="D1466">
        <v>2.5</v>
      </c>
      <c r="E1466" s="2">
        <f>C1466*D1466 / 100</f>
        <v>0.47749999999999998</v>
      </c>
      <c r="F1466">
        <f>IF(F1465 &lt; 7, F1465 +1,1)</f>
        <v>2</v>
      </c>
      <c r="G1466" t="str">
        <f t="shared" si="22"/>
        <v/>
      </c>
    </row>
    <row r="1467" spans="1:7">
      <c r="A1467" s="1">
        <v>50106</v>
      </c>
      <c r="B1467" t="s">
        <v>19</v>
      </c>
      <c r="C1467">
        <v>24.6</v>
      </c>
      <c r="D1467">
        <v>12.5</v>
      </c>
      <c r="E1467" s="2">
        <f>C1467*D1467 / 100</f>
        <v>3.0750000000000002</v>
      </c>
      <c r="F1467">
        <f>IF(F1466 &lt; 7, F1466 +1,1)</f>
        <v>3</v>
      </c>
      <c r="G1467" t="str">
        <f t="shared" si="22"/>
        <v/>
      </c>
    </row>
    <row r="1468" spans="1:7">
      <c r="A1468" s="1">
        <v>50107</v>
      </c>
      <c r="B1468" t="s">
        <v>33</v>
      </c>
      <c r="C1468">
        <v>22.6</v>
      </c>
      <c r="D1468">
        <v>15.4</v>
      </c>
      <c r="E1468" s="2">
        <f>C1468*D1468 / 100</f>
        <v>3.4804000000000004</v>
      </c>
      <c r="F1468">
        <f>IF(F1467 &lt; 7, F1467 +1,1)</f>
        <v>4</v>
      </c>
      <c r="G1468" t="str">
        <f t="shared" si="22"/>
        <v/>
      </c>
    </row>
    <row r="1469" spans="1:7">
      <c r="A1469" s="1">
        <v>50108</v>
      </c>
      <c r="B1469" t="s">
        <v>26</v>
      </c>
      <c r="C1469">
        <v>18.3</v>
      </c>
      <c r="D1469">
        <v>4.7</v>
      </c>
      <c r="E1469" s="2">
        <f>C1469*D1469 / 100</f>
        <v>0.86010000000000009</v>
      </c>
      <c r="F1469">
        <f>IF(F1468 &lt; 7, F1468 +1,1)</f>
        <v>5</v>
      </c>
      <c r="G1469" t="str">
        <f t="shared" si="22"/>
        <v/>
      </c>
    </row>
    <row r="1470" spans="1:7">
      <c r="A1470" s="1">
        <v>50109</v>
      </c>
      <c r="B1470" t="s">
        <v>16</v>
      </c>
      <c r="C1470">
        <v>25.5</v>
      </c>
      <c r="D1470">
        <v>0</v>
      </c>
      <c r="E1470" s="2">
        <f>C1470*D1470 / 100</f>
        <v>0</v>
      </c>
      <c r="F1470">
        <f>IF(F1469 &lt; 7, F1469 +1,1)</f>
        <v>6</v>
      </c>
      <c r="G1470" t="str">
        <f t="shared" si="22"/>
        <v/>
      </c>
    </row>
    <row r="1471" spans="1:7">
      <c r="A1471" s="1">
        <v>50110</v>
      </c>
      <c r="B1471" t="s">
        <v>29</v>
      </c>
      <c r="C1471">
        <v>26.6</v>
      </c>
      <c r="D1471">
        <v>0</v>
      </c>
      <c r="E1471" s="2">
        <f>C1471*D1471 / 100</f>
        <v>0</v>
      </c>
      <c r="F1471">
        <f>IF(F1470 &lt; 7, F1470 +1,1)</f>
        <v>7</v>
      </c>
      <c r="G1471">
        <f t="shared" si="22"/>
        <v>162.49999999999997</v>
      </c>
    </row>
    <row r="1472" spans="1:7">
      <c r="A1472" s="1">
        <v>50111</v>
      </c>
      <c r="B1472" t="s">
        <v>16</v>
      </c>
      <c r="C1472">
        <v>19.8</v>
      </c>
      <c r="D1472">
        <v>14.9</v>
      </c>
      <c r="E1472" s="2">
        <f>C1472*D1472 / 100</f>
        <v>2.9502000000000006</v>
      </c>
      <c r="F1472">
        <f>IF(F1471 &lt; 7, F1471 +1,1)</f>
        <v>1</v>
      </c>
      <c r="G1472" t="str">
        <f t="shared" si="22"/>
        <v/>
      </c>
    </row>
    <row r="1473" spans="1:7">
      <c r="A1473" s="1">
        <v>50112</v>
      </c>
      <c r="B1473" t="s">
        <v>12</v>
      </c>
      <c r="C1473">
        <v>23.7</v>
      </c>
      <c r="D1473">
        <v>0.9</v>
      </c>
      <c r="E1473" s="2">
        <f>C1473*D1473 / 100</f>
        <v>0.21329999999999999</v>
      </c>
      <c r="F1473">
        <f>IF(F1472 &lt; 7, F1472 +1,1)</f>
        <v>2</v>
      </c>
      <c r="G1473" t="str">
        <f t="shared" si="22"/>
        <v/>
      </c>
    </row>
    <row r="1474" spans="1:7">
      <c r="A1474" s="1">
        <v>50113</v>
      </c>
      <c r="B1474" t="s">
        <v>13</v>
      </c>
      <c r="C1474">
        <v>23.5</v>
      </c>
      <c r="D1474">
        <v>1</v>
      </c>
      <c r="E1474" s="2">
        <f>C1474*D1474 / 100</f>
        <v>0.23499999999999999</v>
      </c>
      <c r="F1474">
        <f>IF(F1473 &lt; 7, F1473 +1,1)</f>
        <v>3</v>
      </c>
      <c r="G1474" t="str">
        <f t="shared" si="22"/>
        <v/>
      </c>
    </row>
    <row r="1475" spans="1:7">
      <c r="A1475" s="1">
        <v>50114</v>
      </c>
      <c r="B1475" t="s">
        <v>10</v>
      </c>
      <c r="C1475">
        <v>18.8</v>
      </c>
      <c r="D1475">
        <v>7.8</v>
      </c>
      <c r="E1475" s="2">
        <f>C1475*D1475 / 100</f>
        <v>1.4664000000000001</v>
      </c>
      <c r="F1475">
        <f>IF(F1474 &lt; 7, F1474 +1,1)</f>
        <v>4</v>
      </c>
      <c r="G1475" t="str">
        <f t="shared" si="22"/>
        <v/>
      </c>
    </row>
    <row r="1476" spans="1:7">
      <c r="A1476" s="1">
        <v>50115</v>
      </c>
      <c r="B1476" t="s">
        <v>30</v>
      </c>
      <c r="C1476">
        <v>18.7</v>
      </c>
      <c r="D1476">
        <v>10</v>
      </c>
      <c r="E1476" s="2">
        <f>C1476*D1476 / 100</f>
        <v>1.87</v>
      </c>
      <c r="F1476">
        <f>IF(F1475 &lt; 7, F1475 +1,1)</f>
        <v>5</v>
      </c>
      <c r="G1476" t="str">
        <f t="shared" si="22"/>
        <v/>
      </c>
    </row>
    <row r="1477" spans="1:7">
      <c r="A1477" s="1">
        <v>50116</v>
      </c>
      <c r="B1477" t="s">
        <v>36</v>
      </c>
      <c r="C1477">
        <v>28.3</v>
      </c>
      <c r="D1477">
        <v>21.8</v>
      </c>
      <c r="E1477" s="2">
        <f>C1477*D1477 / 100</f>
        <v>6.1694000000000004</v>
      </c>
      <c r="F1477">
        <f>IF(F1476 &lt; 7, F1476 +1,1)</f>
        <v>6</v>
      </c>
      <c r="G1477" t="str">
        <f t="shared" si="22"/>
        <v/>
      </c>
    </row>
    <row r="1478" spans="1:7">
      <c r="A1478" s="1">
        <v>50117</v>
      </c>
      <c r="B1478" t="s">
        <v>24</v>
      </c>
      <c r="C1478">
        <v>10.6</v>
      </c>
      <c r="D1478">
        <v>6.4</v>
      </c>
      <c r="E1478" s="2">
        <f>C1478*D1478 / 100</f>
        <v>0.6784</v>
      </c>
      <c r="F1478">
        <f>IF(F1477 &lt; 7, F1477 +1,1)</f>
        <v>7</v>
      </c>
      <c r="G1478">
        <f t="shared" si="22"/>
        <v>143.4</v>
      </c>
    </row>
    <row r="1479" spans="1:7">
      <c r="A1479" s="1">
        <v>50118</v>
      </c>
      <c r="B1479" t="s">
        <v>21</v>
      </c>
      <c r="C1479">
        <v>26.2</v>
      </c>
      <c r="D1479">
        <v>19.2</v>
      </c>
      <c r="E1479" s="2">
        <f>C1479*D1479 / 100</f>
        <v>5.0303999999999993</v>
      </c>
      <c r="F1479">
        <f>IF(F1478 &lt; 7, F1478 +1,1)</f>
        <v>1</v>
      </c>
      <c r="G1479" t="str">
        <f t="shared" si="22"/>
        <v/>
      </c>
    </row>
    <row r="1480" spans="1:7">
      <c r="A1480" s="1">
        <v>50119</v>
      </c>
      <c r="B1480" t="s">
        <v>19</v>
      </c>
      <c r="C1480">
        <v>25.3</v>
      </c>
      <c r="D1480">
        <v>8.6999999999999993</v>
      </c>
      <c r="E1480" s="2">
        <f>C1480*D1480 / 100</f>
        <v>2.2010999999999998</v>
      </c>
      <c r="F1480">
        <f>IF(F1479 &lt; 7, F1479 +1,1)</f>
        <v>2</v>
      </c>
      <c r="G1480" t="str">
        <f t="shared" si="22"/>
        <v/>
      </c>
    </row>
    <row r="1481" spans="1:7">
      <c r="A1481" s="1">
        <v>50120</v>
      </c>
      <c r="B1481" t="s">
        <v>24</v>
      </c>
      <c r="C1481">
        <v>21.6</v>
      </c>
      <c r="D1481">
        <v>1</v>
      </c>
      <c r="E1481" s="2">
        <f>C1481*D1481 / 100</f>
        <v>0.21600000000000003</v>
      </c>
      <c r="F1481">
        <f>IF(F1480 &lt; 7, F1480 +1,1)</f>
        <v>3</v>
      </c>
      <c r="G1481" t="str">
        <f t="shared" ref="G1481:G1544" si="23">IF(F1481=7, SUM(C1475:C1481), "")</f>
        <v/>
      </c>
    </row>
    <row r="1482" spans="1:7">
      <c r="A1482" s="1">
        <v>50121</v>
      </c>
      <c r="B1482" t="s">
        <v>36</v>
      </c>
      <c r="C1482">
        <v>24.9</v>
      </c>
      <c r="D1482">
        <v>23.5</v>
      </c>
      <c r="E1482" s="2">
        <f>C1482*D1482 / 100</f>
        <v>5.8514999999999997</v>
      </c>
      <c r="F1482">
        <f>IF(F1481 &lt; 7, F1481 +1,1)</f>
        <v>4</v>
      </c>
      <c r="G1482" t="str">
        <f t="shared" si="23"/>
        <v/>
      </c>
    </row>
    <row r="1483" spans="1:7">
      <c r="A1483" s="1">
        <v>50122</v>
      </c>
      <c r="B1483" t="s">
        <v>33</v>
      </c>
      <c r="C1483">
        <v>27.7</v>
      </c>
      <c r="D1483">
        <v>11.5</v>
      </c>
      <c r="E1483" s="2">
        <f>C1483*D1483 / 100</f>
        <v>3.1855000000000002</v>
      </c>
      <c r="F1483">
        <f>IF(F1482 &lt; 7, F1482 +1,1)</f>
        <v>5</v>
      </c>
      <c r="G1483" t="str">
        <f t="shared" si="23"/>
        <v/>
      </c>
    </row>
    <row r="1484" spans="1:7">
      <c r="A1484" s="1">
        <v>50123</v>
      </c>
      <c r="B1484" t="s">
        <v>36</v>
      </c>
      <c r="C1484">
        <v>12.3</v>
      </c>
      <c r="D1484">
        <v>0</v>
      </c>
      <c r="E1484" s="2">
        <f>C1484*D1484 / 100</f>
        <v>0</v>
      </c>
      <c r="F1484">
        <f>IF(F1483 &lt; 7, F1483 +1,1)</f>
        <v>6</v>
      </c>
      <c r="G1484" t="str">
        <f t="shared" si="23"/>
        <v/>
      </c>
    </row>
    <row r="1485" spans="1:7">
      <c r="A1485" s="1">
        <v>50124</v>
      </c>
      <c r="B1485" t="s">
        <v>18</v>
      </c>
      <c r="C1485">
        <v>10.199999999999999</v>
      </c>
      <c r="D1485">
        <v>0.8</v>
      </c>
      <c r="E1485" s="2">
        <f>C1485*D1485 / 100</f>
        <v>8.1600000000000006E-2</v>
      </c>
      <c r="F1485">
        <f>IF(F1484 &lt; 7, F1484 +1,1)</f>
        <v>7</v>
      </c>
      <c r="G1485">
        <f t="shared" si="23"/>
        <v>148.19999999999999</v>
      </c>
    </row>
    <row r="1486" spans="1:7">
      <c r="A1486" s="1">
        <v>50125</v>
      </c>
      <c r="B1486" t="s">
        <v>21</v>
      </c>
      <c r="C1486">
        <v>23.1</v>
      </c>
      <c r="D1486">
        <v>0</v>
      </c>
      <c r="E1486" s="2">
        <f>C1486*D1486 / 100</f>
        <v>0</v>
      </c>
      <c r="F1486">
        <f>IF(F1485 &lt; 7, F1485 +1,1)</f>
        <v>1</v>
      </c>
      <c r="G1486" t="str">
        <f t="shared" si="23"/>
        <v/>
      </c>
    </row>
    <row r="1487" spans="1:7">
      <c r="A1487" s="1">
        <v>50126</v>
      </c>
      <c r="B1487" t="s">
        <v>29</v>
      </c>
      <c r="C1487">
        <v>11.3</v>
      </c>
      <c r="D1487">
        <v>0</v>
      </c>
      <c r="E1487" s="2">
        <f>C1487*D1487 / 100</f>
        <v>0</v>
      </c>
      <c r="F1487">
        <f>IF(F1486 &lt; 7, F1486 +1,1)</f>
        <v>2</v>
      </c>
      <c r="G1487" t="str">
        <f t="shared" si="23"/>
        <v/>
      </c>
    </row>
    <row r="1488" spans="1:7">
      <c r="A1488" s="1">
        <v>50127</v>
      </c>
      <c r="B1488" t="s">
        <v>36</v>
      </c>
      <c r="C1488">
        <v>29.5</v>
      </c>
      <c r="D1488">
        <v>10.4</v>
      </c>
      <c r="E1488" s="2">
        <f>C1488*D1488 / 100</f>
        <v>3.0680000000000001</v>
      </c>
      <c r="F1488">
        <f>IF(F1487 &lt; 7, F1487 +1,1)</f>
        <v>3</v>
      </c>
      <c r="G1488" t="str">
        <f t="shared" si="23"/>
        <v/>
      </c>
    </row>
    <row r="1489" spans="1:7">
      <c r="A1489" s="1">
        <v>50128</v>
      </c>
      <c r="B1489" t="s">
        <v>33</v>
      </c>
      <c r="C1489">
        <v>19.7</v>
      </c>
      <c r="D1489">
        <v>0</v>
      </c>
      <c r="E1489" s="2">
        <f>C1489*D1489 / 100</f>
        <v>0</v>
      </c>
      <c r="F1489">
        <f>IF(F1488 &lt; 7, F1488 +1,1)</f>
        <v>4</v>
      </c>
      <c r="G1489" t="str">
        <f t="shared" si="23"/>
        <v/>
      </c>
    </row>
    <row r="1490" spans="1:7">
      <c r="A1490" s="1">
        <v>50129</v>
      </c>
      <c r="B1490" t="s">
        <v>10</v>
      </c>
      <c r="C1490">
        <v>27.9</v>
      </c>
      <c r="D1490">
        <v>3.4</v>
      </c>
      <c r="E1490" s="2">
        <f>C1490*D1490 / 100</f>
        <v>0.9486</v>
      </c>
      <c r="F1490">
        <f>IF(F1489 &lt; 7, F1489 +1,1)</f>
        <v>5</v>
      </c>
      <c r="G1490" t="str">
        <f t="shared" si="23"/>
        <v/>
      </c>
    </row>
    <row r="1491" spans="1:7">
      <c r="A1491" s="1">
        <v>50130</v>
      </c>
      <c r="B1491" t="s">
        <v>21</v>
      </c>
      <c r="C1491">
        <v>17.399999999999999</v>
      </c>
      <c r="D1491">
        <v>34.200000000000003</v>
      </c>
      <c r="E1491" s="2">
        <f>C1491*D1491 / 100</f>
        <v>5.9508000000000001</v>
      </c>
      <c r="F1491">
        <f>IF(F1490 &lt; 7, F1490 +1,1)</f>
        <v>6</v>
      </c>
      <c r="G1491" t="str">
        <f t="shared" si="23"/>
        <v/>
      </c>
    </row>
    <row r="1492" spans="1:7">
      <c r="A1492" s="1">
        <v>50131</v>
      </c>
      <c r="B1492" t="s">
        <v>23</v>
      </c>
      <c r="C1492">
        <v>23</v>
      </c>
      <c r="D1492">
        <v>0</v>
      </c>
      <c r="E1492" s="2">
        <f>C1492*D1492 / 100</f>
        <v>0</v>
      </c>
      <c r="F1492">
        <f>IF(F1491 &lt; 7, F1491 +1,1)</f>
        <v>7</v>
      </c>
      <c r="G1492">
        <f t="shared" si="23"/>
        <v>151.9</v>
      </c>
    </row>
    <row r="1493" spans="1:7">
      <c r="A1493" s="1">
        <v>50132</v>
      </c>
      <c r="B1493" t="s">
        <v>28</v>
      </c>
      <c r="C1493">
        <v>27.6</v>
      </c>
      <c r="D1493">
        <v>0</v>
      </c>
      <c r="E1493" s="2">
        <f>C1493*D1493 / 100</f>
        <v>0</v>
      </c>
      <c r="F1493">
        <f>IF(F1492 &lt; 7, F1492 +1,1)</f>
        <v>1</v>
      </c>
      <c r="G1493" t="str">
        <f t="shared" si="23"/>
        <v/>
      </c>
    </row>
    <row r="1494" spans="1:7">
      <c r="A1494" s="1">
        <v>50133</v>
      </c>
      <c r="B1494" t="s">
        <v>24</v>
      </c>
      <c r="C1494">
        <v>11.6</v>
      </c>
      <c r="D1494">
        <v>0</v>
      </c>
      <c r="E1494" s="2">
        <f>C1494*D1494 / 100</f>
        <v>0</v>
      </c>
      <c r="F1494">
        <f>IF(F1493 &lt; 7, F1493 +1,1)</f>
        <v>2</v>
      </c>
      <c r="G1494" t="str">
        <f t="shared" si="23"/>
        <v/>
      </c>
    </row>
    <row r="1495" spans="1:7">
      <c r="A1495" s="1">
        <v>50134</v>
      </c>
      <c r="B1495" t="s">
        <v>18</v>
      </c>
      <c r="C1495">
        <v>24.2</v>
      </c>
      <c r="D1495">
        <v>5</v>
      </c>
      <c r="E1495" s="2">
        <f>C1495*D1495 / 100</f>
        <v>1.21</v>
      </c>
      <c r="F1495">
        <f>IF(F1494 &lt; 7, F1494 +1,1)</f>
        <v>3</v>
      </c>
      <c r="G1495" t="str">
        <f t="shared" si="23"/>
        <v/>
      </c>
    </row>
    <row r="1496" spans="1:7">
      <c r="A1496" s="1">
        <v>50135</v>
      </c>
      <c r="B1496" t="s">
        <v>30</v>
      </c>
      <c r="C1496">
        <v>13.2</v>
      </c>
      <c r="D1496">
        <v>2.2999999999999998</v>
      </c>
      <c r="E1496" s="2">
        <f>C1496*D1496 / 100</f>
        <v>0.30359999999999998</v>
      </c>
      <c r="F1496">
        <f>IF(F1495 &lt; 7, F1495 +1,1)</f>
        <v>4</v>
      </c>
      <c r="G1496" t="str">
        <f t="shared" si="23"/>
        <v/>
      </c>
    </row>
    <row r="1497" spans="1:7">
      <c r="A1497" s="1">
        <v>50136</v>
      </c>
      <c r="B1497" t="s">
        <v>16</v>
      </c>
      <c r="C1497">
        <v>27</v>
      </c>
      <c r="D1497">
        <v>0.7</v>
      </c>
      <c r="E1497" s="2">
        <f>C1497*D1497 / 100</f>
        <v>0.18899999999999997</v>
      </c>
      <c r="F1497">
        <f>IF(F1496 &lt; 7, F1496 +1,1)</f>
        <v>5</v>
      </c>
      <c r="G1497" t="str">
        <f t="shared" si="23"/>
        <v/>
      </c>
    </row>
    <row r="1498" spans="1:7">
      <c r="A1498" s="1">
        <v>50137</v>
      </c>
      <c r="B1498" t="s">
        <v>30</v>
      </c>
      <c r="C1498">
        <v>23.9</v>
      </c>
      <c r="D1498">
        <v>6.2</v>
      </c>
      <c r="E1498" s="2">
        <f>C1498*D1498 / 100</f>
        <v>1.4818</v>
      </c>
      <c r="F1498">
        <f>IF(F1497 &lt; 7, F1497 +1,1)</f>
        <v>6</v>
      </c>
      <c r="G1498" t="str">
        <f t="shared" si="23"/>
        <v/>
      </c>
    </row>
    <row r="1499" spans="1:7">
      <c r="A1499" s="1">
        <v>50138</v>
      </c>
      <c r="B1499" t="s">
        <v>36</v>
      </c>
      <c r="C1499">
        <v>16.8</v>
      </c>
      <c r="D1499">
        <v>17.600000000000001</v>
      </c>
      <c r="E1499" s="2">
        <f>C1499*D1499 / 100</f>
        <v>2.9568000000000008</v>
      </c>
      <c r="F1499">
        <f>IF(F1498 &lt; 7, F1498 +1,1)</f>
        <v>7</v>
      </c>
      <c r="G1499">
        <f t="shared" si="23"/>
        <v>144.30000000000001</v>
      </c>
    </row>
    <row r="1500" spans="1:7">
      <c r="A1500" s="1">
        <v>50139</v>
      </c>
      <c r="B1500" t="s">
        <v>36</v>
      </c>
      <c r="C1500">
        <v>28.5</v>
      </c>
      <c r="D1500">
        <v>15.2</v>
      </c>
      <c r="E1500" s="2">
        <f>C1500*D1500 / 100</f>
        <v>4.3319999999999999</v>
      </c>
      <c r="F1500">
        <f>IF(F1499 &lt; 7, F1499 +1,1)</f>
        <v>1</v>
      </c>
      <c r="G1500" t="str">
        <f t="shared" si="23"/>
        <v/>
      </c>
    </row>
    <row r="1501" spans="1:7">
      <c r="A1501" s="1">
        <v>50140</v>
      </c>
      <c r="B1501" t="s">
        <v>32</v>
      </c>
      <c r="C1501">
        <v>25.2</v>
      </c>
      <c r="D1501">
        <v>1.9</v>
      </c>
      <c r="E1501" s="2">
        <f>C1501*D1501 / 100</f>
        <v>0.47879999999999995</v>
      </c>
      <c r="F1501">
        <f>IF(F1500 &lt; 7, F1500 +1,1)</f>
        <v>2</v>
      </c>
      <c r="G1501" t="str">
        <f t="shared" si="23"/>
        <v/>
      </c>
    </row>
    <row r="1502" spans="1:7">
      <c r="A1502" s="1">
        <v>50141</v>
      </c>
      <c r="B1502" t="s">
        <v>21</v>
      </c>
      <c r="C1502">
        <v>24.9</v>
      </c>
      <c r="D1502">
        <v>6.8</v>
      </c>
      <c r="E1502" s="2">
        <f>C1502*D1502 / 100</f>
        <v>1.6932</v>
      </c>
      <c r="F1502">
        <f>IF(F1501 &lt; 7, F1501 +1,1)</f>
        <v>3</v>
      </c>
      <c r="G1502" t="str">
        <f t="shared" si="23"/>
        <v/>
      </c>
    </row>
    <row r="1503" spans="1:7">
      <c r="A1503" s="1">
        <v>50142</v>
      </c>
      <c r="B1503" t="s">
        <v>34</v>
      </c>
      <c r="C1503">
        <v>14.7</v>
      </c>
      <c r="D1503">
        <v>5.7</v>
      </c>
      <c r="E1503" s="2">
        <f>C1503*D1503 / 100</f>
        <v>0.83789999999999987</v>
      </c>
      <c r="F1503">
        <f>IF(F1502 &lt; 7, F1502 +1,1)</f>
        <v>4</v>
      </c>
      <c r="G1503" t="str">
        <f t="shared" si="23"/>
        <v/>
      </c>
    </row>
    <row r="1504" spans="1:7">
      <c r="A1504" s="1">
        <v>50143</v>
      </c>
      <c r="B1504" t="s">
        <v>21</v>
      </c>
      <c r="C1504">
        <v>12.2</v>
      </c>
      <c r="D1504">
        <v>14.1</v>
      </c>
      <c r="E1504" s="2">
        <f>C1504*D1504 / 100</f>
        <v>1.7201999999999997</v>
      </c>
      <c r="F1504">
        <f>IF(F1503 &lt; 7, F1503 +1,1)</f>
        <v>5</v>
      </c>
      <c r="G1504" t="str">
        <f t="shared" si="23"/>
        <v/>
      </c>
    </row>
    <row r="1505" spans="1:7">
      <c r="A1505" s="1">
        <v>50144</v>
      </c>
      <c r="B1505" t="s">
        <v>26</v>
      </c>
      <c r="C1505">
        <v>24.2</v>
      </c>
      <c r="D1505">
        <v>8</v>
      </c>
      <c r="E1505" s="2">
        <f>C1505*D1505 / 100</f>
        <v>1.9359999999999999</v>
      </c>
      <c r="F1505">
        <f>IF(F1504 &lt; 7, F1504 +1,1)</f>
        <v>6</v>
      </c>
      <c r="G1505" t="str">
        <f t="shared" si="23"/>
        <v/>
      </c>
    </row>
    <row r="1506" spans="1:7">
      <c r="A1506" s="1">
        <v>50145</v>
      </c>
      <c r="B1506" t="s">
        <v>24</v>
      </c>
      <c r="C1506">
        <v>28.7</v>
      </c>
      <c r="D1506">
        <v>0</v>
      </c>
      <c r="E1506" s="2">
        <f>C1506*D1506 / 100</f>
        <v>0</v>
      </c>
      <c r="F1506">
        <f>IF(F1505 &lt; 7, F1505 +1,1)</f>
        <v>7</v>
      </c>
      <c r="G1506">
        <f t="shared" si="23"/>
        <v>158.39999999999998</v>
      </c>
    </row>
    <row r="1507" spans="1:7">
      <c r="A1507" s="1">
        <v>50146</v>
      </c>
      <c r="B1507" t="s">
        <v>21</v>
      </c>
      <c r="C1507">
        <v>28.5</v>
      </c>
      <c r="D1507">
        <v>0</v>
      </c>
      <c r="E1507" s="2">
        <f>C1507*D1507 / 100</f>
        <v>0</v>
      </c>
      <c r="F1507">
        <f>IF(F1506 &lt; 7, F1506 +1,1)</f>
        <v>1</v>
      </c>
      <c r="G1507" t="str">
        <f t="shared" si="23"/>
        <v/>
      </c>
    </row>
    <row r="1508" spans="1:7">
      <c r="A1508" s="1">
        <v>50147</v>
      </c>
      <c r="B1508" t="s">
        <v>16</v>
      </c>
      <c r="C1508">
        <v>29.3</v>
      </c>
      <c r="D1508">
        <v>23.3</v>
      </c>
      <c r="E1508" s="2">
        <f>C1508*D1508 / 100</f>
        <v>6.8269000000000002</v>
      </c>
      <c r="F1508">
        <f>IF(F1507 &lt; 7, F1507 +1,1)</f>
        <v>2</v>
      </c>
      <c r="G1508" t="str">
        <f t="shared" si="23"/>
        <v/>
      </c>
    </row>
    <row r="1509" spans="1:7">
      <c r="A1509" s="1">
        <v>50148</v>
      </c>
      <c r="B1509" t="s">
        <v>21</v>
      </c>
      <c r="C1509">
        <v>13.3</v>
      </c>
      <c r="D1509">
        <v>4.9000000000000004</v>
      </c>
      <c r="E1509" s="2">
        <f>C1509*D1509 / 100</f>
        <v>0.65170000000000006</v>
      </c>
      <c r="F1509">
        <f>IF(F1508 &lt; 7, F1508 +1,1)</f>
        <v>3</v>
      </c>
      <c r="G1509" t="str">
        <f t="shared" si="23"/>
        <v/>
      </c>
    </row>
    <row r="1510" spans="1:7">
      <c r="A1510" s="1">
        <v>50149</v>
      </c>
      <c r="B1510" t="s">
        <v>21</v>
      </c>
      <c r="C1510">
        <v>22.6</v>
      </c>
      <c r="D1510">
        <v>0.7</v>
      </c>
      <c r="E1510" s="2">
        <f>C1510*D1510 / 100</f>
        <v>0.15820000000000001</v>
      </c>
      <c r="F1510">
        <f>IF(F1509 &lt; 7, F1509 +1,1)</f>
        <v>4</v>
      </c>
      <c r="G1510" t="str">
        <f t="shared" si="23"/>
        <v/>
      </c>
    </row>
    <row r="1511" spans="1:7">
      <c r="A1511" s="1">
        <v>50150</v>
      </c>
      <c r="B1511" t="s">
        <v>18</v>
      </c>
      <c r="C1511">
        <v>19.3</v>
      </c>
      <c r="D1511">
        <v>3</v>
      </c>
      <c r="E1511" s="2">
        <f>C1511*D1511 / 100</f>
        <v>0.57900000000000007</v>
      </c>
      <c r="F1511">
        <f>IF(F1510 &lt; 7, F1510 +1,1)</f>
        <v>5</v>
      </c>
      <c r="G1511" t="str">
        <f t="shared" si="23"/>
        <v/>
      </c>
    </row>
    <row r="1512" spans="1:7">
      <c r="A1512" s="1">
        <v>50151</v>
      </c>
      <c r="B1512" t="s">
        <v>22</v>
      </c>
      <c r="C1512">
        <v>17.899999999999999</v>
      </c>
      <c r="D1512">
        <v>5.0999999999999996</v>
      </c>
      <c r="E1512" s="2">
        <f>C1512*D1512 / 100</f>
        <v>0.91289999999999993</v>
      </c>
      <c r="F1512">
        <f>IF(F1511 &lt; 7, F1511 +1,1)</f>
        <v>6</v>
      </c>
      <c r="G1512" t="str">
        <f t="shared" si="23"/>
        <v/>
      </c>
    </row>
    <row r="1513" spans="1:7">
      <c r="A1513" s="1">
        <v>50152</v>
      </c>
      <c r="B1513" t="s">
        <v>18</v>
      </c>
      <c r="C1513">
        <v>16.7</v>
      </c>
      <c r="D1513">
        <v>0.3</v>
      </c>
      <c r="E1513" s="2">
        <f>C1513*D1513 / 100</f>
        <v>5.0099999999999999E-2</v>
      </c>
      <c r="F1513">
        <f>IF(F1512 &lt; 7, F1512 +1,1)</f>
        <v>7</v>
      </c>
      <c r="G1513">
        <f t="shared" si="23"/>
        <v>147.59999999999997</v>
      </c>
    </row>
    <row r="1514" spans="1:7">
      <c r="A1514" s="1">
        <v>50153</v>
      </c>
      <c r="B1514" t="s">
        <v>18</v>
      </c>
      <c r="C1514">
        <v>22</v>
      </c>
      <c r="D1514">
        <v>0</v>
      </c>
      <c r="E1514" s="2">
        <f>C1514*D1514 / 100</f>
        <v>0</v>
      </c>
      <c r="F1514">
        <f>IF(F1513 &lt; 7, F1513 +1,1)</f>
        <v>1</v>
      </c>
      <c r="G1514" t="str">
        <f t="shared" si="23"/>
        <v/>
      </c>
    </row>
    <row r="1515" spans="1:7">
      <c r="A1515" s="1">
        <v>50154</v>
      </c>
      <c r="B1515" t="s">
        <v>26</v>
      </c>
      <c r="C1515">
        <v>21.2</v>
      </c>
      <c r="D1515">
        <v>5.9</v>
      </c>
      <c r="E1515" s="2">
        <f>C1515*D1515 / 100</f>
        <v>1.2507999999999999</v>
      </c>
      <c r="F1515">
        <f>IF(F1514 &lt; 7, F1514 +1,1)</f>
        <v>2</v>
      </c>
      <c r="G1515" t="str">
        <f t="shared" si="23"/>
        <v/>
      </c>
    </row>
    <row r="1516" spans="1:7">
      <c r="A1516" s="1">
        <v>50155</v>
      </c>
      <c r="B1516" t="s">
        <v>9</v>
      </c>
      <c r="C1516">
        <v>20.6</v>
      </c>
      <c r="D1516">
        <v>4.5999999999999996</v>
      </c>
      <c r="E1516" s="2">
        <f>C1516*D1516 / 100</f>
        <v>0.9476</v>
      </c>
      <c r="F1516">
        <f>IF(F1515 &lt; 7, F1515 +1,1)</f>
        <v>3</v>
      </c>
      <c r="G1516" t="str">
        <f t="shared" si="23"/>
        <v/>
      </c>
    </row>
    <row r="1517" spans="1:7">
      <c r="A1517" s="1">
        <v>50156</v>
      </c>
      <c r="B1517" t="s">
        <v>36</v>
      </c>
      <c r="C1517">
        <v>29.4</v>
      </c>
      <c r="D1517">
        <v>9.1999999999999993</v>
      </c>
      <c r="E1517" s="2">
        <f>C1517*D1517 / 100</f>
        <v>2.7047999999999996</v>
      </c>
      <c r="F1517">
        <f>IF(F1516 &lt; 7, F1516 +1,1)</f>
        <v>4</v>
      </c>
      <c r="G1517" t="str">
        <f t="shared" si="23"/>
        <v/>
      </c>
    </row>
    <row r="1518" spans="1:7">
      <c r="A1518" s="1">
        <v>50157</v>
      </c>
      <c r="B1518" t="s">
        <v>16</v>
      </c>
      <c r="C1518">
        <v>21.3</v>
      </c>
      <c r="D1518">
        <v>0</v>
      </c>
      <c r="E1518" s="2">
        <f>C1518*D1518 / 100</f>
        <v>0</v>
      </c>
      <c r="F1518">
        <f>IF(F1517 &lt; 7, F1517 +1,1)</f>
        <v>5</v>
      </c>
      <c r="G1518" t="str">
        <f t="shared" si="23"/>
        <v/>
      </c>
    </row>
    <row r="1519" spans="1:7">
      <c r="A1519" s="1">
        <v>50158</v>
      </c>
      <c r="B1519" t="s">
        <v>26</v>
      </c>
      <c r="C1519">
        <v>20.100000000000001</v>
      </c>
      <c r="D1519">
        <v>2.2000000000000002</v>
      </c>
      <c r="E1519" s="2">
        <f>C1519*D1519 / 100</f>
        <v>0.44220000000000004</v>
      </c>
      <c r="F1519">
        <f>IF(F1518 &lt; 7, F1518 +1,1)</f>
        <v>6</v>
      </c>
      <c r="G1519" t="str">
        <f t="shared" si="23"/>
        <v/>
      </c>
    </row>
    <row r="1520" spans="1:7">
      <c r="A1520" s="1">
        <v>50159</v>
      </c>
      <c r="B1520" t="s">
        <v>21</v>
      </c>
      <c r="C1520">
        <v>12.7</v>
      </c>
      <c r="D1520">
        <v>5.6</v>
      </c>
      <c r="E1520" s="2">
        <f>C1520*D1520 / 100</f>
        <v>0.71119999999999994</v>
      </c>
      <c r="F1520">
        <f>IF(F1519 &lt; 7, F1519 +1,1)</f>
        <v>7</v>
      </c>
      <c r="G1520">
        <f t="shared" si="23"/>
        <v>147.29999999999998</v>
      </c>
    </row>
    <row r="1521" spans="1:7">
      <c r="A1521" s="1">
        <v>50160</v>
      </c>
      <c r="B1521" t="s">
        <v>9</v>
      </c>
      <c r="C1521">
        <v>28.9</v>
      </c>
      <c r="D1521">
        <v>0</v>
      </c>
      <c r="E1521" s="2">
        <f>C1521*D1521 / 100</f>
        <v>0</v>
      </c>
      <c r="F1521">
        <f>IF(F1520 &lt; 7, F1520 +1,1)</f>
        <v>1</v>
      </c>
      <c r="G1521" t="str">
        <f t="shared" si="23"/>
        <v/>
      </c>
    </row>
    <row r="1522" spans="1:7">
      <c r="A1522" s="1">
        <v>50161</v>
      </c>
      <c r="B1522" t="s">
        <v>36</v>
      </c>
      <c r="C1522">
        <v>24.4</v>
      </c>
      <c r="D1522">
        <v>28.7</v>
      </c>
      <c r="E1522" s="2">
        <f>C1522*D1522 / 100</f>
        <v>7.0027999999999997</v>
      </c>
      <c r="F1522">
        <f>IF(F1521 &lt; 7, F1521 +1,1)</f>
        <v>2</v>
      </c>
      <c r="G1522" t="str">
        <f t="shared" si="23"/>
        <v/>
      </c>
    </row>
    <row r="1523" spans="1:7">
      <c r="A1523" s="1">
        <v>50162</v>
      </c>
      <c r="B1523" t="s">
        <v>21</v>
      </c>
      <c r="C1523">
        <v>10.8</v>
      </c>
      <c r="D1523">
        <v>0</v>
      </c>
      <c r="E1523" s="2">
        <f>C1523*D1523 / 100</f>
        <v>0</v>
      </c>
      <c r="F1523">
        <f>IF(F1522 &lt; 7, F1522 +1,1)</f>
        <v>3</v>
      </c>
      <c r="G1523" t="str">
        <f t="shared" si="23"/>
        <v/>
      </c>
    </row>
    <row r="1524" spans="1:7">
      <c r="A1524" s="1">
        <v>50163</v>
      </c>
      <c r="B1524" t="s">
        <v>21</v>
      </c>
      <c r="C1524">
        <v>18.399999999999999</v>
      </c>
      <c r="D1524">
        <v>0</v>
      </c>
      <c r="E1524" s="2">
        <f>C1524*D1524 / 100</f>
        <v>0</v>
      </c>
      <c r="F1524">
        <f>IF(F1523 &lt; 7, F1523 +1,1)</f>
        <v>4</v>
      </c>
      <c r="G1524" t="str">
        <f t="shared" si="23"/>
        <v/>
      </c>
    </row>
    <row r="1525" spans="1:7">
      <c r="A1525" s="1">
        <v>50164</v>
      </c>
      <c r="B1525" t="s">
        <v>36</v>
      </c>
      <c r="C1525">
        <v>23.3</v>
      </c>
      <c r="D1525">
        <v>10.7</v>
      </c>
      <c r="E1525" s="2">
        <f>C1525*D1525 / 100</f>
        <v>2.4931000000000001</v>
      </c>
      <c r="F1525">
        <f>IF(F1524 &lt; 7, F1524 +1,1)</f>
        <v>5</v>
      </c>
      <c r="G1525" t="str">
        <f t="shared" si="23"/>
        <v/>
      </c>
    </row>
    <row r="1526" spans="1:7">
      <c r="A1526" s="1">
        <v>50165</v>
      </c>
      <c r="B1526" t="s">
        <v>33</v>
      </c>
      <c r="C1526">
        <v>27.9</v>
      </c>
      <c r="D1526">
        <v>14.8</v>
      </c>
      <c r="E1526" s="2">
        <f>C1526*D1526 / 100</f>
        <v>4.1292</v>
      </c>
      <c r="F1526">
        <f>IF(F1525 &lt; 7, F1525 +1,1)</f>
        <v>6</v>
      </c>
      <c r="G1526" t="str">
        <f t="shared" si="23"/>
        <v/>
      </c>
    </row>
    <row r="1527" spans="1:7">
      <c r="A1527" s="1">
        <v>50166</v>
      </c>
      <c r="B1527" t="s">
        <v>34</v>
      </c>
      <c r="C1527">
        <v>24.7</v>
      </c>
      <c r="D1527">
        <v>9</v>
      </c>
      <c r="E1527" s="2">
        <f>C1527*D1527 / 100</f>
        <v>2.2229999999999999</v>
      </c>
      <c r="F1527">
        <f>IF(F1526 &lt; 7, F1526 +1,1)</f>
        <v>7</v>
      </c>
      <c r="G1527">
        <f t="shared" si="23"/>
        <v>158.39999999999998</v>
      </c>
    </row>
    <row r="1528" spans="1:7">
      <c r="A1528" s="1">
        <v>50167</v>
      </c>
      <c r="B1528" t="s">
        <v>36</v>
      </c>
      <c r="C1528">
        <v>14.3</v>
      </c>
      <c r="D1528">
        <v>22</v>
      </c>
      <c r="E1528" s="2">
        <f>C1528*D1528 / 100</f>
        <v>3.1460000000000004</v>
      </c>
      <c r="F1528">
        <f>IF(F1527 &lt; 7, F1527 +1,1)</f>
        <v>1</v>
      </c>
      <c r="G1528" t="str">
        <f t="shared" si="23"/>
        <v/>
      </c>
    </row>
    <row r="1529" spans="1:7">
      <c r="A1529" s="1">
        <v>50168</v>
      </c>
      <c r="B1529" t="s">
        <v>32</v>
      </c>
      <c r="C1529">
        <v>26.2</v>
      </c>
      <c r="D1529">
        <v>2</v>
      </c>
      <c r="E1529" s="2">
        <f>C1529*D1529 / 100</f>
        <v>0.52400000000000002</v>
      </c>
      <c r="F1529">
        <f>IF(F1528 &lt; 7, F1528 +1,1)</f>
        <v>2</v>
      </c>
      <c r="G1529" t="str">
        <f t="shared" si="23"/>
        <v/>
      </c>
    </row>
    <row r="1530" spans="1:7">
      <c r="A1530" s="1">
        <v>50169</v>
      </c>
      <c r="B1530" t="s">
        <v>31</v>
      </c>
      <c r="C1530">
        <v>21.5</v>
      </c>
      <c r="D1530">
        <v>0.4</v>
      </c>
      <c r="E1530" s="2">
        <f>C1530*D1530 / 100</f>
        <v>8.5999999999999993E-2</v>
      </c>
      <c r="F1530">
        <f>IF(F1529 &lt; 7, F1529 +1,1)</f>
        <v>3</v>
      </c>
      <c r="G1530" t="str">
        <f t="shared" si="23"/>
        <v/>
      </c>
    </row>
    <row r="1531" spans="1:7">
      <c r="A1531" s="1">
        <v>50170</v>
      </c>
      <c r="B1531" t="s">
        <v>21</v>
      </c>
      <c r="C1531">
        <v>12.8</v>
      </c>
      <c r="D1531">
        <v>0</v>
      </c>
      <c r="E1531" s="2">
        <f>C1531*D1531 / 100</f>
        <v>0</v>
      </c>
      <c r="F1531">
        <f>IF(F1530 &lt; 7, F1530 +1,1)</f>
        <v>4</v>
      </c>
      <c r="G1531" t="str">
        <f t="shared" si="23"/>
        <v/>
      </c>
    </row>
    <row r="1532" spans="1:7">
      <c r="A1532" s="1">
        <v>50171</v>
      </c>
      <c r="B1532" t="s">
        <v>26</v>
      </c>
      <c r="C1532">
        <v>24.6</v>
      </c>
      <c r="D1532">
        <v>3</v>
      </c>
      <c r="E1532" s="2">
        <f>C1532*D1532 / 100</f>
        <v>0.7380000000000001</v>
      </c>
      <c r="F1532">
        <f>IF(F1531 &lt; 7, F1531 +1,1)</f>
        <v>5</v>
      </c>
      <c r="G1532" t="str">
        <f t="shared" si="23"/>
        <v/>
      </c>
    </row>
    <row r="1533" spans="1:7">
      <c r="A1533" s="1">
        <v>50172</v>
      </c>
      <c r="B1533" t="s">
        <v>14</v>
      </c>
      <c r="C1533">
        <v>22.6</v>
      </c>
      <c r="D1533">
        <v>1.6</v>
      </c>
      <c r="E1533" s="2">
        <f>C1533*D1533 / 100</f>
        <v>0.36160000000000003</v>
      </c>
      <c r="F1533">
        <f>IF(F1532 &lt; 7, F1532 +1,1)</f>
        <v>6</v>
      </c>
      <c r="G1533" t="str">
        <f t="shared" si="23"/>
        <v/>
      </c>
    </row>
    <row r="1534" spans="1:7">
      <c r="A1534" s="1">
        <v>50173</v>
      </c>
      <c r="B1534" t="s">
        <v>19</v>
      </c>
      <c r="C1534">
        <v>27.3</v>
      </c>
      <c r="D1534">
        <v>9.3000000000000007</v>
      </c>
      <c r="E1534" s="2">
        <f>C1534*D1534 / 100</f>
        <v>2.5388999999999999</v>
      </c>
      <c r="F1534">
        <f>IF(F1533 &lt; 7, F1533 +1,1)</f>
        <v>7</v>
      </c>
      <c r="G1534">
        <f t="shared" si="23"/>
        <v>149.30000000000001</v>
      </c>
    </row>
    <row r="1535" spans="1:7">
      <c r="A1535" s="1">
        <v>50174</v>
      </c>
      <c r="B1535" t="s">
        <v>36</v>
      </c>
      <c r="C1535">
        <v>10.8</v>
      </c>
      <c r="D1535">
        <v>22.2</v>
      </c>
      <c r="E1535" s="2">
        <f>C1535*D1535 / 100</f>
        <v>2.3976000000000002</v>
      </c>
      <c r="F1535">
        <f>IF(F1534 &lt; 7, F1534 +1,1)</f>
        <v>1</v>
      </c>
      <c r="G1535" t="str">
        <f t="shared" si="23"/>
        <v/>
      </c>
    </row>
    <row r="1536" spans="1:7">
      <c r="A1536" s="1">
        <v>50175</v>
      </c>
      <c r="B1536" t="s">
        <v>23</v>
      </c>
      <c r="C1536">
        <v>12</v>
      </c>
      <c r="D1536">
        <v>5.3</v>
      </c>
      <c r="E1536" s="2">
        <f>C1536*D1536 / 100</f>
        <v>0.6359999999999999</v>
      </c>
      <c r="F1536">
        <f>IF(F1535 &lt; 7, F1535 +1,1)</f>
        <v>2</v>
      </c>
      <c r="G1536" t="str">
        <f t="shared" si="23"/>
        <v/>
      </c>
    </row>
    <row r="1537" spans="1:7">
      <c r="A1537" s="1">
        <v>50176</v>
      </c>
      <c r="B1537" t="s">
        <v>16</v>
      </c>
      <c r="C1537">
        <v>28.1</v>
      </c>
      <c r="D1537">
        <v>0</v>
      </c>
      <c r="E1537" s="2">
        <f>C1537*D1537 / 100</f>
        <v>0</v>
      </c>
      <c r="F1537">
        <f>IF(F1536 &lt; 7, F1536 +1,1)</f>
        <v>3</v>
      </c>
      <c r="G1537" t="str">
        <f t="shared" si="23"/>
        <v/>
      </c>
    </row>
    <row r="1538" spans="1:7">
      <c r="A1538" s="1">
        <v>50177</v>
      </c>
      <c r="B1538" t="s">
        <v>9</v>
      </c>
      <c r="C1538">
        <v>16.100000000000001</v>
      </c>
      <c r="D1538">
        <v>9</v>
      </c>
      <c r="E1538" s="2">
        <f>C1538*D1538 / 100</f>
        <v>1.4490000000000001</v>
      </c>
      <c r="F1538">
        <f>IF(F1537 &lt; 7, F1537 +1,1)</f>
        <v>4</v>
      </c>
      <c r="G1538" t="str">
        <f t="shared" si="23"/>
        <v/>
      </c>
    </row>
    <row r="1539" spans="1:7">
      <c r="A1539" s="1">
        <v>50178</v>
      </c>
      <c r="B1539" t="s">
        <v>29</v>
      </c>
      <c r="C1539">
        <v>29</v>
      </c>
      <c r="D1539">
        <v>1.6</v>
      </c>
      <c r="E1539" s="2">
        <f>C1539*D1539 / 100</f>
        <v>0.46400000000000008</v>
      </c>
      <c r="F1539">
        <f>IF(F1538 &lt; 7, F1538 +1,1)</f>
        <v>5</v>
      </c>
      <c r="G1539" t="str">
        <f t="shared" si="23"/>
        <v/>
      </c>
    </row>
    <row r="1540" spans="1:7">
      <c r="A1540" s="1">
        <v>50179</v>
      </c>
      <c r="B1540" t="s">
        <v>9</v>
      </c>
      <c r="C1540">
        <v>23.6</v>
      </c>
      <c r="D1540">
        <v>16</v>
      </c>
      <c r="E1540" s="2">
        <f>C1540*D1540 / 100</f>
        <v>3.7760000000000002</v>
      </c>
      <c r="F1540">
        <f>IF(F1539 &lt; 7, F1539 +1,1)</f>
        <v>6</v>
      </c>
      <c r="G1540" t="str">
        <f t="shared" si="23"/>
        <v/>
      </c>
    </row>
    <row r="1541" spans="1:7">
      <c r="A1541" s="1">
        <v>50180</v>
      </c>
      <c r="B1541" t="s">
        <v>36</v>
      </c>
      <c r="C1541">
        <v>11.6</v>
      </c>
      <c r="D1541">
        <v>32</v>
      </c>
      <c r="E1541" s="2">
        <f>C1541*D1541 / 100</f>
        <v>3.7119999999999997</v>
      </c>
      <c r="F1541">
        <f>IF(F1540 &lt; 7, F1540 +1,1)</f>
        <v>7</v>
      </c>
      <c r="G1541">
        <f t="shared" si="23"/>
        <v>131.19999999999999</v>
      </c>
    </row>
    <row r="1542" spans="1:7">
      <c r="A1542" s="1">
        <v>50181</v>
      </c>
      <c r="B1542" t="s">
        <v>33</v>
      </c>
      <c r="C1542">
        <v>15.9</v>
      </c>
      <c r="D1542">
        <v>5.5</v>
      </c>
      <c r="E1542" s="2">
        <f>C1542*D1542 / 100</f>
        <v>0.87450000000000006</v>
      </c>
      <c r="F1542">
        <f>IF(F1541 &lt; 7, F1541 +1,1)</f>
        <v>1</v>
      </c>
      <c r="G1542" t="str">
        <f t="shared" si="23"/>
        <v/>
      </c>
    </row>
    <row r="1543" spans="1:7">
      <c r="A1543" s="1">
        <v>50182</v>
      </c>
      <c r="B1543" t="s">
        <v>12</v>
      </c>
      <c r="C1543">
        <v>28.3</v>
      </c>
      <c r="D1543">
        <v>6</v>
      </c>
      <c r="E1543" s="2">
        <f>C1543*D1543 / 100</f>
        <v>1.6980000000000002</v>
      </c>
      <c r="F1543">
        <f>IF(F1542 &lt; 7, F1542 +1,1)</f>
        <v>2</v>
      </c>
      <c r="G1543" t="str">
        <f t="shared" si="23"/>
        <v/>
      </c>
    </row>
    <row r="1544" spans="1:7">
      <c r="A1544" s="1">
        <v>50183</v>
      </c>
      <c r="B1544" t="s">
        <v>34</v>
      </c>
      <c r="C1544">
        <v>16.600000000000001</v>
      </c>
      <c r="D1544">
        <v>11.3</v>
      </c>
      <c r="E1544" s="2">
        <f>C1544*D1544 / 100</f>
        <v>1.8758000000000004</v>
      </c>
      <c r="F1544">
        <f>IF(F1543 &lt; 7, F1543 +1,1)</f>
        <v>3</v>
      </c>
      <c r="G1544" t="str">
        <f t="shared" si="23"/>
        <v/>
      </c>
    </row>
    <row r="1545" spans="1:7">
      <c r="A1545" s="1">
        <v>50184</v>
      </c>
      <c r="B1545" t="s">
        <v>24</v>
      </c>
      <c r="C1545">
        <v>25.2</v>
      </c>
      <c r="D1545">
        <v>6.4</v>
      </c>
      <c r="E1545" s="2">
        <f>C1545*D1545 / 100</f>
        <v>1.6128</v>
      </c>
      <c r="F1545">
        <f>IF(F1544 &lt; 7, F1544 +1,1)</f>
        <v>4</v>
      </c>
      <c r="G1545" t="str">
        <f t="shared" ref="G1545:G1608" si="24">IF(F1545=7, SUM(C1539:C1545), "")</f>
        <v/>
      </c>
    </row>
    <row r="1546" spans="1:7">
      <c r="A1546" s="1">
        <v>50185</v>
      </c>
      <c r="B1546" t="s">
        <v>21</v>
      </c>
      <c r="C1546">
        <v>29.5</v>
      </c>
      <c r="D1546">
        <v>26.1</v>
      </c>
      <c r="E1546" s="2">
        <f>C1546*D1546 / 100</f>
        <v>7.6995000000000005</v>
      </c>
      <c r="F1546">
        <f>IF(F1545 &lt; 7, F1545 +1,1)</f>
        <v>5</v>
      </c>
      <c r="G1546" t="str">
        <f t="shared" si="24"/>
        <v/>
      </c>
    </row>
    <row r="1547" spans="1:7">
      <c r="A1547" s="1">
        <v>50186</v>
      </c>
      <c r="B1547" t="s">
        <v>29</v>
      </c>
      <c r="C1547">
        <v>13.3</v>
      </c>
      <c r="D1547">
        <v>7.3</v>
      </c>
      <c r="E1547" s="2">
        <f>C1547*D1547 / 100</f>
        <v>0.97089999999999999</v>
      </c>
      <c r="F1547">
        <f>IF(F1546 &lt; 7, F1546 +1,1)</f>
        <v>6</v>
      </c>
      <c r="G1547" t="str">
        <f t="shared" si="24"/>
        <v/>
      </c>
    </row>
    <row r="1548" spans="1:7">
      <c r="A1548" s="1">
        <v>50187</v>
      </c>
      <c r="B1548" t="s">
        <v>23</v>
      </c>
      <c r="C1548">
        <v>19.5</v>
      </c>
      <c r="D1548">
        <v>3.4</v>
      </c>
      <c r="E1548" s="2">
        <f>C1548*D1548 / 100</f>
        <v>0.66299999999999992</v>
      </c>
      <c r="F1548">
        <f>IF(F1547 &lt; 7, F1547 +1,1)</f>
        <v>7</v>
      </c>
      <c r="G1548">
        <f t="shared" si="24"/>
        <v>148.30000000000001</v>
      </c>
    </row>
    <row r="1549" spans="1:7">
      <c r="A1549" s="1">
        <v>50188</v>
      </c>
      <c r="B1549" t="s">
        <v>35</v>
      </c>
      <c r="C1549">
        <v>11.9</v>
      </c>
      <c r="D1549">
        <v>1.7</v>
      </c>
      <c r="E1549" s="2">
        <f>C1549*D1549 / 100</f>
        <v>0.20230000000000001</v>
      </c>
      <c r="F1549">
        <f>IF(F1548 &lt; 7, F1548 +1,1)</f>
        <v>1</v>
      </c>
      <c r="G1549" t="str">
        <f t="shared" si="24"/>
        <v/>
      </c>
    </row>
    <row r="1550" spans="1:7">
      <c r="A1550" s="1">
        <v>50189</v>
      </c>
      <c r="B1550" t="s">
        <v>11</v>
      </c>
      <c r="C1550">
        <v>29.5</v>
      </c>
      <c r="D1550">
        <v>5.0999999999999996</v>
      </c>
      <c r="E1550" s="2">
        <f>C1550*D1550 / 100</f>
        <v>1.5044999999999999</v>
      </c>
      <c r="F1550">
        <f>IF(F1549 &lt; 7, F1549 +1,1)</f>
        <v>2</v>
      </c>
      <c r="G1550" t="str">
        <f t="shared" si="24"/>
        <v/>
      </c>
    </row>
    <row r="1551" spans="1:7">
      <c r="A1551" s="1">
        <v>50190</v>
      </c>
      <c r="B1551" t="s">
        <v>36</v>
      </c>
      <c r="C1551">
        <v>25.1</v>
      </c>
      <c r="D1551">
        <v>0</v>
      </c>
      <c r="E1551" s="2">
        <f>C1551*D1551 / 100</f>
        <v>0</v>
      </c>
      <c r="F1551">
        <f>IF(F1550 &lt; 7, F1550 +1,1)</f>
        <v>3</v>
      </c>
      <c r="G1551" t="str">
        <f t="shared" si="24"/>
        <v/>
      </c>
    </row>
    <row r="1552" spans="1:7">
      <c r="A1552" s="1">
        <v>50191</v>
      </c>
      <c r="B1552" t="s">
        <v>24</v>
      </c>
      <c r="C1552">
        <v>15.1</v>
      </c>
      <c r="D1552">
        <v>0</v>
      </c>
      <c r="E1552" s="2">
        <f>C1552*D1552 / 100</f>
        <v>0</v>
      </c>
      <c r="F1552">
        <f>IF(F1551 &lt; 7, F1551 +1,1)</f>
        <v>4</v>
      </c>
      <c r="G1552" t="str">
        <f t="shared" si="24"/>
        <v/>
      </c>
    </row>
    <row r="1553" spans="1:7">
      <c r="A1553" s="1">
        <v>50192</v>
      </c>
      <c r="B1553" t="s">
        <v>32</v>
      </c>
      <c r="C1553">
        <v>19.7</v>
      </c>
      <c r="D1553">
        <v>1.7</v>
      </c>
      <c r="E1553" s="2">
        <f>C1553*D1553 / 100</f>
        <v>0.33489999999999998</v>
      </c>
      <c r="F1553">
        <f>IF(F1552 &lt; 7, F1552 +1,1)</f>
        <v>5</v>
      </c>
      <c r="G1553" t="str">
        <f t="shared" si="24"/>
        <v/>
      </c>
    </row>
    <row r="1554" spans="1:7">
      <c r="A1554" s="1">
        <v>50193</v>
      </c>
      <c r="B1554" t="s">
        <v>36</v>
      </c>
      <c r="C1554">
        <v>25.6</v>
      </c>
      <c r="D1554">
        <v>0</v>
      </c>
      <c r="E1554" s="2">
        <f>C1554*D1554 / 100</f>
        <v>0</v>
      </c>
      <c r="F1554">
        <f>IF(F1553 &lt; 7, F1553 +1,1)</f>
        <v>6</v>
      </c>
      <c r="G1554" t="str">
        <f t="shared" si="24"/>
        <v/>
      </c>
    </row>
    <row r="1555" spans="1:7">
      <c r="A1555" s="1">
        <v>50194</v>
      </c>
      <c r="B1555" t="s">
        <v>9</v>
      </c>
      <c r="C1555">
        <v>25</v>
      </c>
      <c r="D1555">
        <v>18.8</v>
      </c>
      <c r="E1555" s="2">
        <f>C1555*D1555 / 100</f>
        <v>4.7</v>
      </c>
      <c r="F1555">
        <f>IF(F1554 &lt; 7, F1554 +1,1)</f>
        <v>7</v>
      </c>
      <c r="G1555">
        <f t="shared" si="24"/>
        <v>151.9</v>
      </c>
    </row>
    <row r="1556" spans="1:7">
      <c r="A1556" s="1">
        <v>50195</v>
      </c>
      <c r="B1556" t="s">
        <v>6</v>
      </c>
      <c r="C1556">
        <v>11.5</v>
      </c>
      <c r="D1556">
        <v>0</v>
      </c>
      <c r="E1556" s="2">
        <f>C1556*D1556 / 100</f>
        <v>0</v>
      </c>
      <c r="F1556">
        <f>IF(F1555 &lt; 7, F1555 +1,1)</f>
        <v>1</v>
      </c>
      <c r="G1556" t="str">
        <f t="shared" si="24"/>
        <v/>
      </c>
    </row>
    <row r="1557" spans="1:7">
      <c r="A1557" s="1">
        <v>50196</v>
      </c>
      <c r="B1557" t="s">
        <v>21</v>
      </c>
      <c r="C1557">
        <v>23.8</v>
      </c>
      <c r="D1557">
        <v>7.3</v>
      </c>
      <c r="E1557" s="2">
        <f>C1557*D1557 / 100</f>
        <v>1.7374000000000001</v>
      </c>
      <c r="F1557">
        <f>IF(F1556 &lt; 7, F1556 +1,1)</f>
        <v>2</v>
      </c>
      <c r="G1557" t="str">
        <f t="shared" si="24"/>
        <v/>
      </c>
    </row>
    <row r="1558" spans="1:7">
      <c r="A1558" s="1">
        <v>50197</v>
      </c>
      <c r="B1558" t="s">
        <v>36</v>
      </c>
      <c r="C1558">
        <v>25.3</v>
      </c>
      <c r="D1558">
        <v>14.7</v>
      </c>
      <c r="E1558" s="2">
        <f>C1558*D1558 / 100</f>
        <v>3.7190999999999996</v>
      </c>
      <c r="F1558">
        <f>IF(F1557 &lt; 7, F1557 +1,1)</f>
        <v>3</v>
      </c>
      <c r="G1558" t="str">
        <f t="shared" si="24"/>
        <v/>
      </c>
    </row>
    <row r="1559" spans="1:7">
      <c r="A1559" s="1">
        <v>50198</v>
      </c>
      <c r="B1559" t="s">
        <v>21</v>
      </c>
      <c r="C1559">
        <v>22.6</v>
      </c>
      <c r="D1559">
        <v>42.2</v>
      </c>
      <c r="E1559" s="2">
        <f>C1559*D1559 / 100</f>
        <v>9.5372000000000021</v>
      </c>
      <c r="F1559">
        <f>IF(F1558 &lt; 7, F1558 +1,1)</f>
        <v>4</v>
      </c>
      <c r="G1559" t="str">
        <f t="shared" si="24"/>
        <v/>
      </c>
    </row>
    <row r="1560" spans="1:7">
      <c r="A1560" s="1">
        <v>50199</v>
      </c>
      <c r="B1560" t="s">
        <v>11</v>
      </c>
      <c r="C1560">
        <v>18.100000000000001</v>
      </c>
      <c r="D1560">
        <v>3.3</v>
      </c>
      <c r="E1560" s="2">
        <f>C1560*D1560 / 100</f>
        <v>0.59730000000000005</v>
      </c>
      <c r="F1560">
        <f>IF(F1559 &lt; 7, F1559 +1,1)</f>
        <v>5</v>
      </c>
      <c r="G1560" t="str">
        <f t="shared" si="24"/>
        <v/>
      </c>
    </row>
    <row r="1561" spans="1:7">
      <c r="A1561" s="1">
        <v>50200</v>
      </c>
      <c r="B1561" t="s">
        <v>36</v>
      </c>
      <c r="C1561">
        <v>17.8</v>
      </c>
      <c r="D1561">
        <v>0</v>
      </c>
      <c r="E1561" s="2">
        <f>C1561*D1561 / 100</f>
        <v>0</v>
      </c>
      <c r="F1561">
        <f>IF(F1560 &lt; 7, F1560 +1,1)</f>
        <v>6</v>
      </c>
      <c r="G1561" t="str">
        <f t="shared" si="24"/>
        <v/>
      </c>
    </row>
    <row r="1562" spans="1:7">
      <c r="A1562" s="1">
        <v>50201</v>
      </c>
      <c r="B1562" t="s">
        <v>21</v>
      </c>
      <c r="C1562">
        <v>25.1</v>
      </c>
      <c r="D1562">
        <v>25.5</v>
      </c>
      <c r="E1562" s="2">
        <f>C1562*D1562 / 100</f>
        <v>6.400500000000001</v>
      </c>
      <c r="F1562">
        <f>IF(F1561 &lt; 7, F1561 +1,1)</f>
        <v>7</v>
      </c>
      <c r="G1562">
        <f t="shared" si="24"/>
        <v>144.19999999999999</v>
      </c>
    </row>
    <row r="1563" spans="1:7">
      <c r="A1563" s="1">
        <v>50202</v>
      </c>
      <c r="B1563" t="s">
        <v>29</v>
      </c>
      <c r="C1563">
        <v>12</v>
      </c>
      <c r="D1563">
        <v>0</v>
      </c>
      <c r="E1563" s="2">
        <f>C1563*D1563 / 100</f>
        <v>0</v>
      </c>
      <c r="F1563">
        <f>IF(F1562 &lt; 7, F1562 +1,1)</f>
        <v>1</v>
      </c>
      <c r="G1563" t="str">
        <f t="shared" si="24"/>
        <v/>
      </c>
    </row>
    <row r="1564" spans="1:7">
      <c r="A1564" s="1">
        <v>50203</v>
      </c>
      <c r="B1564" t="s">
        <v>21</v>
      </c>
      <c r="C1564">
        <v>23.2</v>
      </c>
      <c r="D1564">
        <v>0</v>
      </c>
      <c r="E1564" s="2">
        <f>C1564*D1564 / 100</f>
        <v>0</v>
      </c>
      <c r="F1564">
        <f>IF(F1563 &lt; 7, F1563 +1,1)</f>
        <v>2</v>
      </c>
      <c r="G1564" t="str">
        <f t="shared" si="24"/>
        <v/>
      </c>
    </row>
    <row r="1565" spans="1:7">
      <c r="A1565" s="1">
        <v>50204</v>
      </c>
      <c r="B1565" t="s">
        <v>30</v>
      </c>
      <c r="C1565">
        <v>16</v>
      </c>
      <c r="D1565">
        <v>7.9</v>
      </c>
      <c r="E1565" s="2">
        <f>C1565*D1565 / 100</f>
        <v>1.264</v>
      </c>
      <c r="F1565">
        <f>IF(F1564 &lt; 7, F1564 +1,1)</f>
        <v>3</v>
      </c>
      <c r="G1565" t="str">
        <f t="shared" si="24"/>
        <v/>
      </c>
    </row>
    <row r="1566" spans="1:7">
      <c r="A1566" s="1">
        <v>50205</v>
      </c>
      <c r="B1566" t="s">
        <v>33</v>
      </c>
      <c r="C1566">
        <v>26.5</v>
      </c>
      <c r="D1566">
        <v>20.2</v>
      </c>
      <c r="E1566" s="2">
        <f>C1566*D1566 / 100</f>
        <v>5.3529999999999998</v>
      </c>
      <c r="F1566">
        <f>IF(F1565 &lt; 7, F1565 +1,1)</f>
        <v>4</v>
      </c>
      <c r="G1566" t="str">
        <f t="shared" si="24"/>
        <v/>
      </c>
    </row>
    <row r="1567" spans="1:7">
      <c r="A1567" s="1">
        <v>50206</v>
      </c>
      <c r="B1567" t="s">
        <v>25</v>
      </c>
      <c r="C1567">
        <v>28.9</v>
      </c>
      <c r="D1567">
        <v>0.3</v>
      </c>
      <c r="E1567" s="2">
        <f>C1567*D1567 / 100</f>
        <v>8.6699999999999999E-2</v>
      </c>
      <c r="F1567">
        <f>IF(F1566 &lt; 7, F1566 +1,1)</f>
        <v>5</v>
      </c>
      <c r="G1567" t="str">
        <f t="shared" si="24"/>
        <v/>
      </c>
    </row>
    <row r="1568" spans="1:7">
      <c r="A1568" s="1">
        <v>50207</v>
      </c>
      <c r="B1568" t="s">
        <v>21</v>
      </c>
      <c r="C1568">
        <v>26.6</v>
      </c>
      <c r="D1568">
        <v>0</v>
      </c>
      <c r="E1568" s="2">
        <f>C1568*D1568 / 100</f>
        <v>0</v>
      </c>
      <c r="F1568">
        <f>IF(F1567 &lt; 7, F1567 +1,1)</f>
        <v>6</v>
      </c>
      <c r="G1568" t="str">
        <f t="shared" si="24"/>
        <v/>
      </c>
    </row>
    <row r="1569" spans="1:7">
      <c r="A1569" s="1">
        <v>50208</v>
      </c>
      <c r="B1569" t="s">
        <v>16</v>
      </c>
      <c r="C1569">
        <v>13.1</v>
      </c>
      <c r="D1569">
        <v>19.899999999999999</v>
      </c>
      <c r="E1569" s="2">
        <f>C1569*D1569 / 100</f>
        <v>2.6069</v>
      </c>
      <c r="F1569">
        <f>IF(F1568 &lt; 7, F1568 +1,1)</f>
        <v>7</v>
      </c>
      <c r="G1569">
        <f t="shared" si="24"/>
        <v>146.29999999999998</v>
      </c>
    </row>
    <row r="1570" spans="1:7">
      <c r="A1570" s="1">
        <v>50209</v>
      </c>
      <c r="B1570" t="s">
        <v>21</v>
      </c>
      <c r="C1570">
        <v>21.5</v>
      </c>
      <c r="D1570">
        <v>33.4</v>
      </c>
      <c r="E1570" s="2">
        <f>C1570*D1570 / 100</f>
        <v>7.181</v>
      </c>
      <c r="F1570">
        <f>IF(F1569 &lt; 7, F1569 +1,1)</f>
        <v>1</v>
      </c>
      <c r="G1570" t="str">
        <f t="shared" si="24"/>
        <v/>
      </c>
    </row>
    <row r="1571" spans="1:7">
      <c r="A1571" s="1">
        <v>50210</v>
      </c>
      <c r="B1571" t="s">
        <v>20</v>
      </c>
      <c r="C1571">
        <v>25.7</v>
      </c>
      <c r="D1571">
        <v>0</v>
      </c>
      <c r="E1571" s="2">
        <f>C1571*D1571 / 100</f>
        <v>0</v>
      </c>
      <c r="F1571">
        <f>IF(F1570 &lt; 7, F1570 +1,1)</f>
        <v>2</v>
      </c>
      <c r="G1571" t="str">
        <f t="shared" si="24"/>
        <v/>
      </c>
    </row>
    <row r="1572" spans="1:7">
      <c r="A1572" s="1">
        <v>50211</v>
      </c>
      <c r="B1572" t="s">
        <v>36</v>
      </c>
      <c r="C1572">
        <v>11.8</v>
      </c>
      <c r="D1572">
        <v>23</v>
      </c>
      <c r="E1572" s="2">
        <f>C1572*D1572 / 100</f>
        <v>2.7140000000000004</v>
      </c>
      <c r="F1572">
        <f>IF(F1571 &lt; 7, F1571 +1,1)</f>
        <v>3</v>
      </c>
      <c r="G1572" t="str">
        <f t="shared" si="24"/>
        <v/>
      </c>
    </row>
    <row r="1573" spans="1:7">
      <c r="A1573" s="1">
        <v>50212</v>
      </c>
      <c r="B1573" t="s">
        <v>35</v>
      </c>
      <c r="C1573">
        <v>12.6</v>
      </c>
      <c r="D1573">
        <v>0.7</v>
      </c>
      <c r="E1573" s="2">
        <f>C1573*D1573 / 100</f>
        <v>8.8199999999999987E-2</v>
      </c>
      <c r="F1573">
        <f>IF(F1572 &lt; 7, F1572 +1,1)</f>
        <v>4</v>
      </c>
      <c r="G1573" t="str">
        <f t="shared" si="24"/>
        <v/>
      </c>
    </row>
    <row r="1574" spans="1:7">
      <c r="A1574" s="1">
        <v>50213</v>
      </c>
      <c r="B1574" t="s">
        <v>14</v>
      </c>
      <c r="C1574">
        <v>26.2</v>
      </c>
      <c r="D1574">
        <v>0.3</v>
      </c>
      <c r="E1574" s="2">
        <f>C1574*D1574 / 100</f>
        <v>7.8599999999999989E-2</v>
      </c>
      <c r="F1574">
        <f>IF(F1573 &lt; 7, F1573 +1,1)</f>
        <v>5</v>
      </c>
      <c r="G1574" t="str">
        <f t="shared" si="24"/>
        <v/>
      </c>
    </row>
    <row r="1575" spans="1:7">
      <c r="A1575" s="1">
        <v>50214</v>
      </c>
      <c r="B1575" t="s">
        <v>22</v>
      </c>
      <c r="C1575">
        <v>29.1</v>
      </c>
      <c r="D1575">
        <v>5</v>
      </c>
      <c r="E1575" s="2">
        <f>C1575*D1575 / 100</f>
        <v>1.4550000000000001</v>
      </c>
      <c r="F1575">
        <f>IF(F1574 &lt; 7, F1574 +1,1)</f>
        <v>6</v>
      </c>
      <c r="G1575" t="str">
        <f t="shared" si="24"/>
        <v/>
      </c>
    </row>
    <row r="1576" spans="1:7">
      <c r="A1576" s="1">
        <v>50215</v>
      </c>
      <c r="B1576" t="s">
        <v>24</v>
      </c>
      <c r="C1576">
        <v>18.899999999999999</v>
      </c>
      <c r="D1576">
        <v>7.5</v>
      </c>
      <c r="E1576" s="2">
        <f>C1576*D1576 / 100</f>
        <v>1.4175</v>
      </c>
      <c r="F1576">
        <f>IF(F1575 &lt; 7, F1575 +1,1)</f>
        <v>7</v>
      </c>
      <c r="G1576">
        <f t="shared" si="24"/>
        <v>145.80000000000001</v>
      </c>
    </row>
    <row r="1577" spans="1:7">
      <c r="A1577" s="1">
        <v>50216</v>
      </c>
      <c r="B1577" t="s">
        <v>9</v>
      </c>
      <c r="C1577">
        <v>10.5</v>
      </c>
      <c r="D1577">
        <v>7.3</v>
      </c>
      <c r="E1577" s="2">
        <f>C1577*D1577 / 100</f>
        <v>0.76649999999999996</v>
      </c>
      <c r="F1577">
        <f>IF(F1576 &lt; 7, F1576 +1,1)</f>
        <v>1</v>
      </c>
      <c r="G1577" t="str">
        <f t="shared" si="24"/>
        <v/>
      </c>
    </row>
    <row r="1578" spans="1:7">
      <c r="A1578" s="1">
        <v>50217</v>
      </c>
      <c r="B1578" t="s">
        <v>6</v>
      </c>
      <c r="C1578">
        <v>15.1</v>
      </c>
      <c r="D1578">
        <v>6</v>
      </c>
      <c r="E1578" s="2">
        <f>C1578*D1578 / 100</f>
        <v>0.90599999999999992</v>
      </c>
      <c r="F1578">
        <f>IF(F1577 &lt; 7, F1577 +1,1)</f>
        <v>2</v>
      </c>
      <c r="G1578" t="str">
        <f t="shared" si="24"/>
        <v/>
      </c>
    </row>
    <row r="1579" spans="1:7">
      <c r="A1579" s="1">
        <v>50218</v>
      </c>
      <c r="B1579" t="s">
        <v>16</v>
      </c>
      <c r="C1579">
        <v>27.8</v>
      </c>
      <c r="D1579">
        <v>8.3000000000000007</v>
      </c>
      <c r="E1579" s="2">
        <f>C1579*D1579 / 100</f>
        <v>2.3074000000000003</v>
      </c>
      <c r="F1579">
        <f>IF(F1578 &lt; 7, F1578 +1,1)</f>
        <v>3</v>
      </c>
      <c r="G1579" t="str">
        <f t="shared" si="24"/>
        <v/>
      </c>
    </row>
    <row r="1580" spans="1:7">
      <c r="A1580" s="1">
        <v>50219</v>
      </c>
      <c r="B1580" t="s">
        <v>31</v>
      </c>
      <c r="C1580">
        <v>11.7</v>
      </c>
      <c r="D1580">
        <v>0.4</v>
      </c>
      <c r="E1580" s="2">
        <f>C1580*D1580 / 100</f>
        <v>4.6799999999999994E-2</v>
      </c>
      <c r="F1580">
        <f>IF(F1579 &lt; 7, F1579 +1,1)</f>
        <v>4</v>
      </c>
      <c r="G1580" t="str">
        <f t="shared" si="24"/>
        <v/>
      </c>
    </row>
    <row r="1581" spans="1:7">
      <c r="A1581" s="1">
        <v>50220</v>
      </c>
      <c r="B1581" t="s">
        <v>21</v>
      </c>
      <c r="C1581">
        <v>10.5</v>
      </c>
      <c r="D1581">
        <v>36.9</v>
      </c>
      <c r="E1581" s="2">
        <f>C1581*D1581 / 100</f>
        <v>3.8744999999999998</v>
      </c>
      <c r="F1581">
        <f>IF(F1580 &lt; 7, F1580 +1,1)</f>
        <v>5</v>
      </c>
      <c r="G1581" t="str">
        <f t="shared" si="24"/>
        <v/>
      </c>
    </row>
    <row r="1582" spans="1:7">
      <c r="A1582" s="1">
        <v>50221</v>
      </c>
      <c r="B1582" t="s">
        <v>10</v>
      </c>
      <c r="C1582">
        <v>21</v>
      </c>
      <c r="D1582">
        <v>7.1</v>
      </c>
      <c r="E1582" s="2">
        <f>C1582*D1582 / 100</f>
        <v>1.4909999999999999</v>
      </c>
      <c r="F1582">
        <f>IF(F1581 &lt; 7, F1581 +1,1)</f>
        <v>6</v>
      </c>
      <c r="G1582" t="str">
        <f t="shared" si="24"/>
        <v/>
      </c>
    </row>
    <row r="1583" spans="1:7">
      <c r="A1583" s="1">
        <v>50222</v>
      </c>
      <c r="B1583" t="s">
        <v>13</v>
      </c>
      <c r="C1583">
        <v>17.399999999999999</v>
      </c>
      <c r="D1583">
        <v>3.7</v>
      </c>
      <c r="E1583" s="2">
        <f>C1583*D1583 / 100</f>
        <v>0.64379999999999993</v>
      </c>
      <c r="F1583">
        <f>IF(F1582 &lt; 7, F1582 +1,1)</f>
        <v>7</v>
      </c>
      <c r="G1583">
        <f t="shared" si="24"/>
        <v>114</v>
      </c>
    </row>
    <row r="1584" spans="1:7">
      <c r="A1584" s="1">
        <v>50223</v>
      </c>
      <c r="B1584" t="s">
        <v>29</v>
      </c>
      <c r="C1584">
        <v>21.9</v>
      </c>
      <c r="D1584">
        <v>7.6</v>
      </c>
      <c r="E1584" s="2">
        <f>C1584*D1584 / 100</f>
        <v>1.6643999999999997</v>
      </c>
      <c r="F1584">
        <f>IF(F1583 &lt; 7, F1583 +1,1)</f>
        <v>1</v>
      </c>
      <c r="G1584" t="str">
        <f t="shared" si="24"/>
        <v/>
      </c>
    </row>
    <row r="1585" spans="1:7">
      <c r="A1585" s="1">
        <v>50224</v>
      </c>
      <c r="B1585" t="s">
        <v>29</v>
      </c>
      <c r="C1585">
        <v>26</v>
      </c>
      <c r="D1585">
        <v>4.5999999999999996</v>
      </c>
      <c r="E1585" s="2">
        <f>C1585*D1585 / 100</f>
        <v>1.196</v>
      </c>
      <c r="F1585">
        <f>IF(F1584 &lt; 7, F1584 +1,1)</f>
        <v>2</v>
      </c>
      <c r="G1585" t="str">
        <f t="shared" si="24"/>
        <v/>
      </c>
    </row>
    <row r="1586" spans="1:7">
      <c r="A1586" s="1">
        <v>50225</v>
      </c>
      <c r="B1586" t="s">
        <v>36</v>
      </c>
      <c r="C1586">
        <v>12.2</v>
      </c>
      <c r="D1586">
        <v>19.3</v>
      </c>
      <c r="E1586" s="2">
        <f>C1586*D1586 / 100</f>
        <v>2.3546</v>
      </c>
      <c r="F1586">
        <f>IF(F1585 &lt; 7, F1585 +1,1)</f>
        <v>3</v>
      </c>
      <c r="G1586" t="str">
        <f t="shared" si="24"/>
        <v/>
      </c>
    </row>
    <row r="1587" spans="1:7">
      <c r="A1587" s="1">
        <v>50226</v>
      </c>
      <c r="B1587" t="s">
        <v>22</v>
      </c>
      <c r="C1587">
        <v>22.4</v>
      </c>
      <c r="D1587">
        <v>0.3</v>
      </c>
      <c r="E1587" s="2">
        <f>C1587*D1587 / 100</f>
        <v>6.7199999999999996E-2</v>
      </c>
      <c r="F1587">
        <f>IF(F1586 &lt; 7, F1586 +1,1)</f>
        <v>4</v>
      </c>
      <c r="G1587" t="str">
        <f t="shared" si="24"/>
        <v/>
      </c>
    </row>
    <row r="1588" spans="1:7">
      <c r="A1588" s="1">
        <v>50227</v>
      </c>
      <c r="B1588" t="s">
        <v>24</v>
      </c>
      <c r="C1588">
        <v>18.600000000000001</v>
      </c>
      <c r="D1588">
        <v>7.2</v>
      </c>
      <c r="E1588" s="2">
        <f>C1588*D1588 / 100</f>
        <v>1.3392000000000002</v>
      </c>
      <c r="F1588">
        <f>IF(F1587 &lt; 7, F1587 +1,1)</f>
        <v>5</v>
      </c>
      <c r="G1588" t="str">
        <f t="shared" si="24"/>
        <v/>
      </c>
    </row>
    <row r="1589" spans="1:7">
      <c r="A1589" s="1">
        <v>50228</v>
      </c>
      <c r="B1589" t="s">
        <v>21</v>
      </c>
      <c r="C1589">
        <v>17.100000000000001</v>
      </c>
      <c r="D1589">
        <v>0</v>
      </c>
      <c r="E1589" s="2">
        <f>C1589*D1589 / 100</f>
        <v>0</v>
      </c>
      <c r="F1589">
        <f>IF(F1588 &lt; 7, F1588 +1,1)</f>
        <v>6</v>
      </c>
      <c r="G1589" t="str">
        <f t="shared" si="24"/>
        <v/>
      </c>
    </row>
    <row r="1590" spans="1:7">
      <c r="A1590" s="1">
        <v>50229</v>
      </c>
      <c r="B1590" t="s">
        <v>36</v>
      </c>
      <c r="C1590">
        <v>25.1</v>
      </c>
      <c r="D1590">
        <v>24.3</v>
      </c>
      <c r="E1590" s="2">
        <f>C1590*D1590 / 100</f>
        <v>6.0993000000000004</v>
      </c>
      <c r="F1590">
        <f>IF(F1589 &lt; 7, F1589 +1,1)</f>
        <v>7</v>
      </c>
      <c r="G1590">
        <f t="shared" si="24"/>
        <v>143.29999999999998</v>
      </c>
    </row>
    <row r="1591" spans="1:7">
      <c r="A1591" s="1">
        <v>50230</v>
      </c>
      <c r="B1591" t="s">
        <v>9</v>
      </c>
      <c r="C1591">
        <v>10.4</v>
      </c>
      <c r="D1591">
        <v>22.2</v>
      </c>
      <c r="E1591" s="2">
        <f>C1591*D1591 / 100</f>
        <v>2.3087999999999997</v>
      </c>
      <c r="F1591">
        <f>IF(F1590 &lt; 7, F1590 +1,1)</f>
        <v>1</v>
      </c>
      <c r="G1591" t="str">
        <f t="shared" si="24"/>
        <v/>
      </c>
    </row>
    <row r="1592" spans="1:7">
      <c r="A1592" s="1">
        <v>50231</v>
      </c>
      <c r="B1592" t="s">
        <v>29</v>
      </c>
      <c r="C1592">
        <v>28.9</v>
      </c>
      <c r="D1592">
        <v>0</v>
      </c>
      <c r="E1592" s="2">
        <f>C1592*D1592 / 100</f>
        <v>0</v>
      </c>
      <c r="F1592">
        <f>IF(F1591 &lt; 7, F1591 +1,1)</f>
        <v>2</v>
      </c>
      <c r="G1592" t="str">
        <f t="shared" si="24"/>
        <v/>
      </c>
    </row>
    <row r="1593" spans="1:7">
      <c r="A1593" s="1">
        <v>50232</v>
      </c>
      <c r="B1593" t="s">
        <v>20</v>
      </c>
      <c r="C1593">
        <v>24.1</v>
      </c>
      <c r="D1593">
        <v>0</v>
      </c>
      <c r="E1593" s="2">
        <f>C1593*D1593 / 100</f>
        <v>0</v>
      </c>
      <c r="F1593">
        <f>IF(F1592 &lt; 7, F1592 +1,1)</f>
        <v>3</v>
      </c>
      <c r="G1593" t="str">
        <f t="shared" si="24"/>
        <v/>
      </c>
    </row>
    <row r="1594" spans="1:7">
      <c r="A1594" s="1">
        <v>50233</v>
      </c>
      <c r="B1594" t="s">
        <v>36</v>
      </c>
      <c r="C1594">
        <v>23.2</v>
      </c>
      <c r="D1594">
        <v>22.1</v>
      </c>
      <c r="E1594" s="2">
        <f>C1594*D1594 / 100</f>
        <v>5.1272000000000002</v>
      </c>
      <c r="F1594">
        <f>IF(F1593 &lt; 7, F1593 +1,1)</f>
        <v>4</v>
      </c>
      <c r="G1594" t="str">
        <f t="shared" si="24"/>
        <v/>
      </c>
    </row>
    <row r="1595" spans="1:7">
      <c r="A1595" s="1">
        <v>50234</v>
      </c>
      <c r="B1595" t="s">
        <v>19</v>
      </c>
      <c r="C1595">
        <v>24.1</v>
      </c>
      <c r="D1595">
        <v>9.3000000000000007</v>
      </c>
      <c r="E1595" s="2">
        <f>C1595*D1595 / 100</f>
        <v>2.2413000000000003</v>
      </c>
      <c r="F1595">
        <f>IF(F1594 &lt; 7, F1594 +1,1)</f>
        <v>5</v>
      </c>
      <c r="G1595" t="str">
        <f t="shared" si="24"/>
        <v/>
      </c>
    </row>
    <row r="1596" spans="1:7">
      <c r="A1596" s="1">
        <v>50235</v>
      </c>
      <c r="B1596" t="s">
        <v>21</v>
      </c>
      <c r="C1596">
        <v>14.6</v>
      </c>
      <c r="D1596">
        <v>0</v>
      </c>
      <c r="E1596" s="2">
        <f>C1596*D1596 / 100</f>
        <v>0</v>
      </c>
      <c r="F1596">
        <f>IF(F1595 &lt; 7, F1595 +1,1)</f>
        <v>6</v>
      </c>
      <c r="G1596" t="str">
        <f t="shared" si="24"/>
        <v/>
      </c>
    </row>
    <row r="1597" spans="1:7">
      <c r="A1597" s="1">
        <v>50236</v>
      </c>
      <c r="B1597" t="s">
        <v>18</v>
      </c>
      <c r="C1597">
        <v>17.7</v>
      </c>
      <c r="D1597">
        <v>0</v>
      </c>
      <c r="E1597" s="2">
        <f>C1597*D1597 / 100</f>
        <v>0</v>
      </c>
      <c r="F1597">
        <f>IF(F1596 &lt; 7, F1596 +1,1)</f>
        <v>7</v>
      </c>
      <c r="G1597">
        <f t="shared" si="24"/>
        <v>142.99999999999997</v>
      </c>
    </row>
    <row r="1598" spans="1:7">
      <c r="A1598" s="1">
        <v>50237</v>
      </c>
      <c r="B1598" t="s">
        <v>30</v>
      </c>
      <c r="C1598">
        <v>20.100000000000001</v>
      </c>
      <c r="D1598">
        <v>11.5</v>
      </c>
      <c r="E1598" s="2">
        <f>C1598*D1598 / 100</f>
        <v>2.3115000000000001</v>
      </c>
      <c r="F1598">
        <f>IF(F1597 &lt; 7, F1597 +1,1)</f>
        <v>1</v>
      </c>
      <c r="G1598" t="str">
        <f t="shared" si="24"/>
        <v/>
      </c>
    </row>
    <row r="1599" spans="1:7">
      <c r="A1599" s="1">
        <v>50238</v>
      </c>
      <c r="B1599" t="s">
        <v>22</v>
      </c>
      <c r="C1599">
        <v>27.5</v>
      </c>
      <c r="D1599">
        <v>0</v>
      </c>
      <c r="E1599" s="2">
        <f>C1599*D1599 / 100</f>
        <v>0</v>
      </c>
      <c r="F1599">
        <f>IF(F1598 &lt; 7, F1598 +1,1)</f>
        <v>2</v>
      </c>
      <c r="G1599" t="str">
        <f t="shared" si="24"/>
        <v/>
      </c>
    </row>
    <row r="1600" spans="1:7">
      <c r="A1600" s="1">
        <v>50239</v>
      </c>
      <c r="B1600" t="s">
        <v>16</v>
      </c>
      <c r="C1600">
        <v>10.9</v>
      </c>
      <c r="D1600">
        <v>9</v>
      </c>
      <c r="E1600" s="2">
        <f>C1600*D1600 / 100</f>
        <v>0.98100000000000009</v>
      </c>
      <c r="F1600">
        <f>IF(F1599 &lt; 7, F1599 +1,1)</f>
        <v>3</v>
      </c>
      <c r="G1600" t="str">
        <f t="shared" si="24"/>
        <v/>
      </c>
    </row>
    <row r="1601" spans="1:7">
      <c r="A1601" s="1">
        <v>50240</v>
      </c>
      <c r="B1601" t="s">
        <v>13</v>
      </c>
      <c r="C1601">
        <v>27.6</v>
      </c>
      <c r="D1601">
        <v>3.2</v>
      </c>
      <c r="E1601" s="2">
        <f>C1601*D1601 / 100</f>
        <v>0.8832000000000001</v>
      </c>
      <c r="F1601">
        <f>IF(F1600 &lt; 7, F1600 +1,1)</f>
        <v>4</v>
      </c>
      <c r="G1601" t="str">
        <f t="shared" si="24"/>
        <v/>
      </c>
    </row>
    <row r="1602" spans="1:7">
      <c r="A1602" s="1">
        <v>50241</v>
      </c>
      <c r="B1602" t="s">
        <v>36</v>
      </c>
      <c r="C1602">
        <v>24.5</v>
      </c>
      <c r="D1602">
        <v>15.3</v>
      </c>
      <c r="E1602" s="2">
        <f>C1602*D1602 / 100</f>
        <v>3.7485000000000004</v>
      </c>
      <c r="F1602">
        <f>IF(F1601 &lt; 7, F1601 +1,1)</f>
        <v>5</v>
      </c>
      <c r="G1602" t="str">
        <f t="shared" si="24"/>
        <v/>
      </c>
    </row>
    <row r="1603" spans="1:7">
      <c r="A1603" s="1">
        <v>50242</v>
      </c>
      <c r="B1603" t="s">
        <v>23</v>
      </c>
      <c r="C1603">
        <v>10.8</v>
      </c>
      <c r="D1603">
        <v>0</v>
      </c>
      <c r="E1603" s="2">
        <f>C1603*D1603 / 100</f>
        <v>0</v>
      </c>
      <c r="F1603">
        <f>IF(F1602 &lt; 7, F1602 +1,1)</f>
        <v>6</v>
      </c>
      <c r="G1603" t="str">
        <f t="shared" si="24"/>
        <v/>
      </c>
    </row>
    <row r="1604" spans="1:7">
      <c r="A1604" s="1">
        <v>50243</v>
      </c>
      <c r="B1604" t="s">
        <v>36</v>
      </c>
      <c r="C1604">
        <v>28.7</v>
      </c>
      <c r="D1604">
        <v>27.2</v>
      </c>
      <c r="E1604" s="2">
        <f>C1604*D1604 / 100</f>
        <v>7.8064</v>
      </c>
      <c r="F1604">
        <f>IF(F1603 &lt; 7, F1603 +1,1)</f>
        <v>7</v>
      </c>
      <c r="G1604">
        <f t="shared" si="24"/>
        <v>150.1</v>
      </c>
    </row>
    <row r="1605" spans="1:7">
      <c r="A1605" s="1">
        <v>50244</v>
      </c>
      <c r="B1605" t="s">
        <v>26</v>
      </c>
      <c r="C1605">
        <v>21.5</v>
      </c>
      <c r="D1605">
        <v>0.6</v>
      </c>
      <c r="E1605" s="2">
        <f>C1605*D1605 / 100</f>
        <v>0.129</v>
      </c>
      <c r="F1605">
        <f>IF(F1604 &lt; 7, F1604 +1,1)</f>
        <v>1</v>
      </c>
      <c r="G1605" t="str">
        <f t="shared" si="24"/>
        <v/>
      </c>
    </row>
    <row r="1606" spans="1:7">
      <c r="A1606" s="1">
        <v>50245</v>
      </c>
      <c r="B1606" t="s">
        <v>13</v>
      </c>
      <c r="C1606">
        <v>20.100000000000001</v>
      </c>
      <c r="D1606">
        <v>0.8</v>
      </c>
      <c r="E1606" s="2">
        <f>C1606*D1606 / 100</f>
        <v>0.16080000000000003</v>
      </c>
      <c r="F1606">
        <f>IF(F1605 &lt; 7, F1605 +1,1)</f>
        <v>2</v>
      </c>
      <c r="G1606" t="str">
        <f t="shared" si="24"/>
        <v/>
      </c>
    </row>
    <row r="1607" spans="1:7">
      <c r="A1607" s="1">
        <v>50246</v>
      </c>
      <c r="B1607" t="s">
        <v>36</v>
      </c>
      <c r="C1607">
        <v>21.3</v>
      </c>
      <c r="D1607">
        <v>14.6</v>
      </c>
      <c r="E1607" s="2">
        <f>C1607*D1607 / 100</f>
        <v>3.1098000000000003</v>
      </c>
      <c r="F1607">
        <f>IF(F1606 &lt; 7, F1606 +1,1)</f>
        <v>3</v>
      </c>
      <c r="G1607" t="str">
        <f t="shared" si="24"/>
        <v/>
      </c>
    </row>
    <row r="1608" spans="1:7">
      <c r="A1608" s="1">
        <v>50247</v>
      </c>
      <c r="B1608" t="s">
        <v>14</v>
      </c>
      <c r="C1608">
        <v>20.2</v>
      </c>
      <c r="D1608">
        <v>6.9</v>
      </c>
      <c r="E1608" s="2">
        <f>C1608*D1608 / 100</f>
        <v>1.3937999999999999</v>
      </c>
      <c r="F1608">
        <f>IF(F1607 &lt; 7, F1607 +1,1)</f>
        <v>4</v>
      </c>
      <c r="G1608" t="str">
        <f t="shared" si="24"/>
        <v/>
      </c>
    </row>
    <row r="1609" spans="1:7">
      <c r="A1609" s="1">
        <v>50248</v>
      </c>
      <c r="B1609" t="s">
        <v>19</v>
      </c>
      <c r="C1609">
        <v>16.8</v>
      </c>
      <c r="D1609">
        <v>7.6</v>
      </c>
      <c r="E1609" s="2">
        <f>C1609*D1609 / 100</f>
        <v>1.2767999999999999</v>
      </c>
      <c r="F1609">
        <f>IF(F1608 &lt; 7, F1608 +1,1)</f>
        <v>5</v>
      </c>
      <c r="G1609" t="str">
        <f t="shared" ref="G1609:G1672" si="25">IF(F1609=7, SUM(C1603:C1609), "")</f>
        <v/>
      </c>
    </row>
    <row r="1610" spans="1:7">
      <c r="A1610" s="1">
        <v>50249</v>
      </c>
      <c r="B1610" t="s">
        <v>30</v>
      </c>
      <c r="C1610">
        <v>26.5</v>
      </c>
      <c r="D1610">
        <v>2.5</v>
      </c>
      <c r="E1610" s="2">
        <f>C1610*D1610 / 100</f>
        <v>0.66249999999999998</v>
      </c>
      <c r="F1610">
        <f>IF(F1609 &lt; 7, F1609 +1,1)</f>
        <v>6</v>
      </c>
      <c r="G1610" t="str">
        <f t="shared" si="25"/>
        <v/>
      </c>
    </row>
    <row r="1611" spans="1:7">
      <c r="A1611" s="1">
        <v>50250</v>
      </c>
      <c r="B1611" t="s">
        <v>16</v>
      </c>
      <c r="C1611">
        <v>18.899999999999999</v>
      </c>
      <c r="D1611">
        <v>0</v>
      </c>
      <c r="E1611" s="2">
        <f>C1611*D1611 / 100</f>
        <v>0</v>
      </c>
      <c r="F1611">
        <f>IF(F1610 &lt; 7, F1610 +1,1)</f>
        <v>7</v>
      </c>
      <c r="G1611">
        <f t="shared" si="25"/>
        <v>145.30000000000001</v>
      </c>
    </row>
    <row r="1612" spans="1:7">
      <c r="A1612" s="1">
        <v>50251</v>
      </c>
      <c r="B1612" t="s">
        <v>18</v>
      </c>
      <c r="C1612">
        <v>22.9</v>
      </c>
      <c r="D1612">
        <v>1.2</v>
      </c>
      <c r="E1612" s="2">
        <f>C1612*D1612 / 100</f>
        <v>0.27479999999999999</v>
      </c>
      <c r="F1612">
        <f>IF(F1611 &lt; 7, F1611 +1,1)</f>
        <v>1</v>
      </c>
      <c r="G1612" t="str">
        <f t="shared" si="25"/>
        <v/>
      </c>
    </row>
    <row r="1613" spans="1:7">
      <c r="A1613" s="1">
        <v>50252</v>
      </c>
      <c r="B1613" t="s">
        <v>36</v>
      </c>
      <c r="C1613">
        <v>11.3</v>
      </c>
      <c r="D1613">
        <v>32.700000000000003</v>
      </c>
      <c r="E1613" s="2">
        <f>C1613*D1613 / 100</f>
        <v>3.6951000000000005</v>
      </c>
      <c r="F1613">
        <f>IF(F1612 &lt; 7, F1612 +1,1)</f>
        <v>2</v>
      </c>
      <c r="G1613" t="str">
        <f t="shared" si="25"/>
        <v/>
      </c>
    </row>
    <row r="1614" spans="1:7">
      <c r="A1614" s="1">
        <v>50253</v>
      </c>
      <c r="B1614" t="s">
        <v>19</v>
      </c>
      <c r="C1614">
        <v>13</v>
      </c>
      <c r="D1614">
        <v>1.7</v>
      </c>
      <c r="E1614" s="2">
        <f>C1614*D1614 / 100</f>
        <v>0.22099999999999997</v>
      </c>
      <c r="F1614">
        <f>IF(F1613 &lt; 7, F1613 +1,1)</f>
        <v>3</v>
      </c>
      <c r="G1614" t="str">
        <f t="shared" si="25"/>
        <v/>
      </c>
    </row>
    <row r="1615" spans="1:7">
      <c r="A1615" s="1">
        <v>50254</v>
      </c>
      <c r="B1615" t="s">
        <v>22</v>
      </c>
      <c r="C1615">
        <v>18.3</v>
      </c>
      <c r="D1615">
        <v>2.5</v>
      </c>
      <c r="E1615" s="2">
        <f>C1615*D1615 / 100</f>
        <v>0.45750000000000002</v>
      </c>
      <c r="F1615">
        <f>IF(F1614 &lt; 7, F1614 +1,1)</f>
        <v>4</v>
      </c>
      <c r="G1615" t="str">
        <f t="shared" si="25"/>
        <v/>
      </c>
    </row>
    <row r="1616" spans="1:7">
      <c r="A1616" s="1">
        <v>50255</v>
      </c>
      <c r="B1616" t="s">
        <v>16</v>
      </c>
      <c r="C1616">
        <v>10.199999999999999</v>
      </c>
      <c r="D1616">
        <v>14.3</v>
      </c>
      <c r="E1616" s="2">
        <f>C1616*D1616 / 100</f>
        <v>1.4585999999999999</v>
      </c>
      <c r="F1616">
        <f>IF(F1615 &lt; 7, F1615 +1,1)</f>
        <v>5</v>
      </c>
      <c r="G1616" t="str">
        <f t="shared" si="25"/>
        <v/>
      </c>
    </row>
    <row r="1617" spans="1:7">
      <c r="A1617" s="1">
        <v>50256</v>
      </c>
      <c r="B1617" t="s">
        <v>9</v>
      </c>
      <c r="C1617">
        <v>14.5</v>
      </c>
      <c r="D1617">
        <v>10.5</v>
      </c>
      <c r="E1617" s="2">
        <f>C1617*D1617 / 100</f>
        <v>1.5225</v>
      </c>
      <c r="F1617">
        <f>IF(F1616 &lt; 7, F1616 +1,1)</f>
        <v>6</v>
      </c>
      <c r="G1617" t="str">
        <f t="shared" si="25"/>
        <v/>
      </c>
    </row>
    <row r="1618" spans="1:7">
      <c r="A1618" s="1">
        <v>50257</v>
      </c>
      <c r="B1618" t="s">
        <v>11</v>
      </c>
      <c r="C1618">
        <v>12.3</v>
      </c>
      <c r="D1618">
        <v>7.4</v>
      </c>
      <c r="E1618" s="2">
        <f>C1618*D1618 / 100</f>
        <v>0.91020000000000012</v>
      </c>
      <c r="F1618">
        <f>IF(F1617 &lt; 7, F1617 +1,1)</f>
        <v>7</v>
      </c>
      <c r="G1618">
        <f t="shared" si="25"/>
        <v>102.5</v>
      </c>
    </row>
    <row r="1619" spans="1:7">
      <c r="A1619" s="1">
        <v>50258</v>
      </c>
      <c r="B1619" t="s">
        <v>19</v>
      </c>
      <c r="C1619">
        <v>17</v>
      </c>
      <c r="D1619">
        <v>16.899999999999999</v>
      </c>
      <c r="E1619" s="2">
        <f>C1619*D1619 / 100</f>
        <v>2.8729999999999993</v>
      </c>
      <c r="F1619">
        <f>IF(F1618 &lt; 7, F1618 +1,1)</f>
        <v>1</v>
      </c>
      <c r="G1619" t="str">
        <f t="shared" si="25"/>
        <v/>
      </c>
    </row>
    <row r="1620" spans="1:7">
      <c r="A1620" s="1">
        <v>50259</v>
      </c>
      <c r="B1620" t="s">
        <v>10</v>
      </c>
      <c r="C1620">
        <v>17.5</v>
      </c>
      <c r="D1620">
        <v>0</v>
      </c>
      <c r="E1620" s="2">
        <f>C1620*D1620 / 100</f>
        <v>0</v>
      </c>
      <c r="F1620">
        <f>IF(F1619 &lt; 7, F1619 +1,1)</f>
        <v>2</v>
      </c>
      <c r="G1620" t="str">
        <f t="shared" si="25"/>
        <v/>
      </c>
    </row>
    <row r="1621" spans="1:7">
      <c r="A1621" s="1">
        <v>50260</v>
      </c>
      <c r="B1621" t="s">
        <v>15</v>
      </c>
      <c r="C1621">
        <v>28.4</v>
      </c>
      <c r="D1621">
        <v>0</v>
      </c>
      <c r="E1621" s="2">
        <f>C1621*D1621 / 100</f>
        <v>0</v>
      </c>
      <c r="F1621">
        <f>IF(F1620 &lt; 7, F1620 +1,1)</f>
        <v>3</v>
      </c>
      <c r="G1621" t="str">
        <f t="shared" si="25"/>
        <v/>
      </c>
    </row>
    <row r="1622" spans="1:7">
      <c r="A1622" s="1">
        <v>50261</v>
      </c>
      <c r="B1622" t="s">
        <v>36</v>
      </c>
      <c r="C1622">
        <v>13.1</v>
      </c>
      <c r="D1622">
        <v>36.6</v>
      </c>
      <c r="E1622" s="2">
        <f>C1622*D1622 / 100</f>
        <v>4.7946</v>
      </c>
      <c r="F1622">
        <f>IF(F1621 &lt; 7, F1621 +1,1)</f>
        <v>4</v>
      </c>
      <c r="G1622" t="str">
        <f t="shared" si="25"/>
        <v/>
      </c>
    </row>
    <row r="1623" spans="1:7">
      <c r="A1623" s="1">
        <v>50262</v>
      </c>
      <c r="B1623" t="s">
        <v>16</v>
      </c>
      <c r="C1623">
        <v>16.600000000000001</v>
      </c>
      <c r="D1623">
        <v>6.6</v>
      </c>
      <c r="E1623" s="2">
        <f>C1623*D1623 / 100</f>
        <v>1.0956000000000001</v>
      </c>
      <c r="F1623">
        <f>IF(F1622 &lt; 7, F1622 +1,1)</f>
        <v>5</v>
      </c>
      <c r="G1623" t="str">
        <f t="shared" si="25"/>
        <v/>
      </c>
    </row>
    <row r="1624" spans="1:7">
      <c r="A1624" s="1">
        <v>50263</v>
      </c>
      <c r="B1624" t="s">
        <v>36</v>
      </c>
      <c r="C1624">
        <v>20.2</v>
      </c>
      <c r="D1624">
        <v>0</v>
      </c>
      <c r="E1624" s="2">
        <f>C1624*D1624 / 100</f>
        <v>0</v>
      </c>
      <c r="F1624">
        <f>IF(F1623 &lt; 7, F1623 +1,1)</f>
        <v>6</v>
      </c>
      <c r="G1624" t="str">
        <f t="shared" si="25"/>
        <v/>
      </c>
    </row>
    <row r="1625" spans="1:7">
      <c r="A1625" s="1">
        <v>50264</v>
      </c>
      <c r="B1625" t="s">
        <v>16</v>
      </c>
      <c r="C1625">
        <v>26.4</v>
      </c>
      <c r="D1625">
        <v>11.9</v>
      </c>
      <c r="E1625" s="2">
        <f>C1625*D1625 / 100</f>
        <v>3.1415999999999995</v>
      </c>
      <c r="F1625">
        <f>IF(F1624 &lt; 7, F1624 +1,1)</f>
        <v>7</v>
      </c>
      <c r="G1625">
        <f t="shared" si="25"/>
        <v>139.19999999999999</v>
      </c>
    </row>
    <row r="1626" spans="1:7">
      <c r="A1626" s="1">
        <v>50265</v>
      </c>
      <c r="B1626" t="s">
        <v>21</v>
      </c>
      <c r="C1626">
        <v>11.8</v>
      </c>
      <c r="D1626">
        <v>0</v>
      </c>
      <c r="E1626" s="2">
        <f>C1626*D1626 / 100</f>
        <v>0</v>
      </c>
      <c r="F1626">
        <f>IF(F1625 &lt; 7, F1625 +1,1)</f>
        <v>1</v>
      </c>
      <c r="G1626" t="str">
        <f t="shared" si="25"/>
        <v/>
      </c>
    </row>
    <row r="1627" spans="1:7">
      <c r="A1627" s="1">
        <v>50266</v>
      </c>
      <c r="B1627" t="s">
        <v>23</v>
      </c>
      <c r="C1627">
        <v>19.5</v>
      </c>
      <c r="D1627">
        <v>6.4</v>
      </c>
      <c r="E1627" s="2">
        <f>C1627*D1627 / 100</f>
        <v>1.2480000000000002</v>
      </c>
      <c r="F1627">
        <f>IF(F1626 &lt; 7, F1626 +1,1)</f>
        <v>2</v>
      </c>
      <c r="G1627" t="str">
        <f t="shared" si="25"/>
        <v/>
      </c>
    </row>
    <row r="1628" spans="1:7">
      <c r="A1628" s="1">
        <v>50267</v>
      </c>
      <c r="B1628" t="s">
        <v>36</v>
      </c>
      <c r="C1628">
        <v>12</v>
      </c>
      <c r="D1628">
        <v>13.3</v>
      </c>
      <c r="E1628" s="2">
        <f>C1628*D1628 / 100</f>
        <v>1.5960000000000003</v>
      </c>
      <c r="F1628">
        <f>IF(F1627 &lt; 7, F1627 +1,1)</f>
        <v>3</v>
      </c>
      <c r="G1628" t="str">
        <f t="shared" si="25"/>
        <v/>
      </c>
    </row>
    <row r="1629" spans="1:7">
      <c r="A1629" s="1">
        <v>50268</v>
      </c>
      <c r="B1629" t="s">
        <v>24</v>
      </c>
      <c r="C1629">
        <v>16.3</v>
      </c>
      <c r="D1629">
        <v>7.5</v>
      </c>
      <c r="E1629" s="2">
        <f>C1629*D1629 / 100</f>
        <v>1.2224999999999999</v>
      </c>
      <c r="F1629">
        <f>IF(F1628 &lt; 7, F1628 +1,1)</f>
        <v>4</v>
      </c>
      <c r="G1629" t="str">
        <f t="shared" si="25"/>
        <v/>
      </c>
    </row>
    <row r="1630" spans="1:7">
      <c r="A1630" s="1">
        <v>50269</v>
      </c>
      <c r="B1630" t="s">
        <v>23</v>
      </c>
      <c r="C1630">
        <v>22.8</v>
      </c>
      <c r="D1630">
        <v>2.7</v>
      </c>
      <c r="E1630" s="2">
        <f>C1630*D1630 / 100</f>
        <v>0.61560000000000015</v>
      </c>
      <c r="F1630">
        <f>IF(F1629 &lt; 7, F1629 +1,1)</f>
        <v>5</v>
      </c>
      <c r="G1630" t="str">
        <f t="shared" si="25"/>
        <v/>
      </c>
    </row>
    <row r="1631" spans="1:7">
      <c r="A1631" s="1">
        <v>50270</v>
      </c>
      <c r="B1631" t="s">
        <v>21</v>
      </c>
      <c r="C1631">
        <v>16.2</v>
      </c>
      <c r="D1631">
        <v>43.3</v>
      </c>
      <c r="E1631" s="2">
        <f>C1631*D1631 / 100</f>
        <v>7.0145999999999988</v>
      </c>
      <c r="F1631">
        <f>IF(F1630 &lt; 7, F1630 +1,1)</f>
        <v>6</v>
      </c>
      <c r="G1631" t="str">
        <f t="shared" si="25"/>
        <v/>
      </c>
    </row>
    <row r="1632" spans="1:7">
      <c r="A1632" s="1">
        <v>50271</v>
      </c>
      <c r="B1632" t="s">
        <v>13</v>
      </c>
      <c r="C1632">
        <v>11.5</v>
      </c>
      <c r="D1632">
        <v>3.1</v>
      </c>
      <c r="E1632" s="2">
        <f>C1632*D1632 / 100</f>
        <v>0.35649999999999998</v>
      </c>
      <c r="F1632">
        <f>IF(F1631 &lt; 7, F1631 +1,1)</f>
        <v>7</v>
      </c>
      <c r="G1632">
        <f t="shared" si="25"/>
        <v>110.1</v>
      </c>
    </row>
    <row r="1633" spans="1:7">
      <c r="A1633" s="1">
        <v>50272</v>
      </c>
      <c r="B1633" t="s">
        <v>19</v>
      </c>
      <c r="C1633">
        <v>13.5</v>
      </c>
      <c r="D1633">
        <v>0</v>
      </c>
      <c r="E1633" s="2">
        <f>C1633*D1633 / 100</f>
        <v>0</v>
      </c>
      <c r="F1633">
        <f>IF(F1632 &lt; 7, F1632 +1,1)</f>
        <v>1</v>
      </c>
      <c r="G1633" t="str">
        <f t="shared" si="25"/>
        <v/>
      </c>
    </row>
    <row r="1634" spans="1:7">
      <c r="A1634" s="1">
        <v>50273</v>
      </c>
      <c r="B1634" t="s">
        <v>23</v>
      </c>
      <c r="C1634">
        <v>16.2</v>
      </c>
      <c r="D1634">
        <v>6.4</v>
      </c>
      <c r="E1634" s="2">
        <f>C1634*D1634 / 100</f>
        <v>1.0368000000000002</v>
      </c>
      <c r="F1634">
        <f>IF(F1633 &lt; 7, F1633 +1,1)</f>
        <v>2</v>
      </c>
      <c r="G1634" t="str">
        <f t="shared" si="25"/>
        <v/>
      </c>
    </row>
    <row r="1635" spans="1:7">
      <c r="A1635" s="1">
        <v>50274</v>
      </c>
      <c r="B1635" t="s">
        <v>21</v>
      </c>
      <c r="C1635">
        <v>18.5</v>
      </c>
      <c r="D1635">
        <v>24.9</v>
      </c>
      <c r="E1635" s="2">
        <f>C1635*D1635 / 100</f>
        <v>4.6064999999999996</v>
      </c>
      <c r="F1635">
        <f>IF(F1634 &lt; 7, F1634 +1,1)</f>
        <v>3</v>
      </c>
      <c r="G1635" t="str">
        <f t="shared" si="25"/>
        <v/>
      </c>
    </row>
    <row r="1636" spans="1:7">
      <c r="A1636" s="1">
        <v>50275</v>
      </c>
      <c r="B1636" t="s">
        <v>36</v>
      </c>
      <c r="C1636">
        <v>10.9</v>
      </c>
      <c r="D1636">
        <v>0</v>
      </c>
      <c r="E1636" s="2">
        <f>C1636*D1636 / 100</f>
        <v>0</v>
      </c>
      <c r="F1636">
        <f>IF(F1635 &lt; 7, F1635 +1,1)</f>
        <v>4</v>
      </c>
      <c r="G1636" t="str">
        <f t="shared" si="25"/>
        <v/>
      </c>
    </row>
    <row r="1637" spans="1:7">
      <c r="A1637" s="1">
        <v>50276</v>
      </c>
      <c r="B1637" t="s">
        <v>23</v>
      </c>
      <c r="C1637">
        <v>23.9</v>
      </c>
      <c r="D1637">
        <v>4.5</v>
      </c>
      <c r="E1637" s="2">
        <f>C1637*D1637 / 100</f>
        <v>1.0754999999999999</v>
      </c>
      <c r="F1637">
        <f>IF(F1636 &lt; 7, F1636 +1,1)</f>
        <v>5</v>
      </c>
      <c r="G1637" t="str">
        <f t="shared" si="25"/>
        <v/>
      </c>
    </row>
    <row r="1638" spans="1:7">
      <c r="A1638" s="1">
        <v>50277</v>
      </c>
      <c r="B1638" t="s">
        <v>9</v>
      </c>
      <c r="C1638">
        <v>20.2</v>
      </c>
      <c r="D1638">
        <v>0</v>
      </c>
      <c r="E1638" s="2">
        <f>C1638*D1638 / 100</f>
        <v>0</v>
      </c>
      <c r="F1638">
        <f>IF(F1637 &lt; 7, F1637 +1,1)</f>
        <v>6</v>
      </c>
      <c r="G1638" t="str">
        <f t="shared" si="25"/>
        <v/>
      </c>
    </row>
    <row r="1639" spans="1:7">
      <c r="A1639" s="1">
        <v>50278</v>
      </c>
      <c r="B1639" t="s">
        <v>16</v>
      </c>
      <c r="C1639">
        <v>23.3</v>
      </c>
      <c r="D1639">
        <v>0</v>
      </c>
      <c r="E1639" s="2">
        <f>C1639*D1639 / 100</f>
        <v>0</v>
      </c>
      <c r="F1639">
        <f>IF(F1638 &lt; 7, F1638 +1,1)</f>
        <v>7</v>
      </c>
      <c r="G1639">
        <f t="shared" si="25"/>
        <v>126.5</v>
      </c>
    </row>
    <row r="1640" spans="1:7">
      <c r="A1640" s="1">
        <v>50279</v>
      </c>
      <c r="B1640" t="s">
        <v>19</v>
      </c>
      <c r="C1640">
        <v>26.3</v>
      </c>
      <c r="D1640">
        <v>2.2000000000000002</v>
      </c>
      <c r="E1640" s="2">
        <f>C1640*D1640 / 100</f>
        <v>0.57860000000000011</v>
      </c>
      <c r="F1640">
        <f>IF(F1639 &lt; 7, F1639 +1,1)</f>
        <v>1</v>
      </c>
      <c r="G1640" t="str">
        <f t="shared" si="25"/>
        <v/>
      </c>
    </row>
    <row r="1641" spans="1:7">
      <c r="A1641" s="1">
        <v>50280</v>
      </c>
      <c r="B1641" t="s">
        <v>19</v>
      </c>
      <c r="C1641">
        <v>20.3</v>
      </c>
      <c r="D1641">
        <v>16.600000000000001</v>
      </c>
      <c r="E1641" s="2">
        <f>C1641*D1641 / 100</f>
        <v>3.3698000000000001</v>
      </c>
      <c r="F1641">
        <f>IF(F1640 &lt; 7, F1640 +1,1)</f>
        <v>2</v>
      </c>
      <c r="G1641" t="str">
        <f t="shared" si="25"/>
        <v/>
      </c>
    </row>
    <row r="1642" spans="1:7">
      <c r="A1642" s="1">
        <v>50281</v>
      </c>
      <c r="B1642" t="s">
        <v>21</v>
      </c>
      <c r="C1642">
        <v>11.1</v>
      </c>
      <c r="D1642">
        <v>38</v>
      </c>
      <c r="E1642" s="2">
        <f>C1642*D1642 / 100</f>
        <v>4.218</v>
      </c>
      <c r="F1642">
        <f>IF(F1641 &lt; 7, F1641 +1,1)</f>
        <v>3</v>
      </c>
      <c r="G1642" t="str">
        <f t="shared" si="25"/>
        <v/>
      </c>
    </row>
    <row r="1643" spans="1:7">
      <c r="A1643" s="1">
        <v>50282</v>
      </c>
      <c r="B1643" t="s">
        <v>10</v>
      </c>
      <c r="C1643">
        <v>10.7</v>
      </c>
      <c r="D1643">
        <v>1.2</v>
      </c>
      <c r="E1643" s="2">
        <f>C1643*D1643 / 100</f>
        <v>0.12839999999999999</v>
      </c>
      <c r="F1643">
        <f>IF(F1642 &lt; 7, F1642 +1,1)</f>
        <v>4</v>
      </c>
      <c r="G1643" t="str">
        <f t="shared" si="25"/>
        <v/>
      </c>
    </row>
    <row r="1644" spans="1:7">
      <c r="A1644" s="1">
        <v>50283</v>
      </c>
      <c r="B1644" t="s">
        <v>28</v>
      </c>
      <c r="C1644">
        <v>21.8</v>
      </c>
      <c r="D1644">
        <v>0</v>
      </c>
      <c r="E1644" s="2">
        <f>C1644*D1644 / 100</f>
        <v>0</v>
      </c>
      <c r="F1644">
        <f>IF(F1643 &lt; 7, F1643 +1,1)</f>
        <v>5</v>
      </c>
      <c r="G1644" t="str">
        <f t="shared" si="25"/>
        <v/>
      </c>
    </row>
    <row r="1645" spans="1:7">
      <c r="A1645" s="1">
        <v>50284</v>
      </c>
      <c r="B1645" t="s">
        <v>16</v>
      </c>
      <c r="C1645">
        <v>29.7</v>
      </c>
      <c r="D1645">
        <v>2.5</v>
      </c>
      <c r="E1645" s="2">
        <f>C1645*D1645 / 100</f>
        <v>0.74250000000000005</v>
      </c>
      <c r="F1645">
        <f>IF(F1644 &lt; 7, F1644 +1,1)</f>
        <v>6</v>
      </c>
      <c r="G1645" t="str">
        <f t="shared" si="25"/>
        <v/>
      </c>
    </row>
    <row r="1646" spans="1:7">
      <c r="A1646" s="1">
        <v>50285</v>
      </c>
      <c r="B1646" t="s">
        <v>21</v>
      </c>
      <c r="C1646">
        <v>21.7</v>
      </c>
      <c r="D1646">
        <v>16.100000000000001</v>
      </c>
      <c r="E1646" s="2">
        <f>C1646*D1646 / 100</f>
        <v>3.4937</v>
      </c>
      <c r="F1646">
        <f>IF(F1645 &lt; 7, F1645 +1,1)</f>
        <v>7</v>
      </c>
      <c r="G1646">
        <f t="shared" si="25"/>
        <v>141.6</v>
      </c>
    </row>
    <row r="1647" spans="1:7">
      <c r="A1647" s="1">
        <v>50286</v>
      </c>
      <c r="B1647" t="s">
        <v>21</v>
      </c>
      <c r="C1647">
        <v>26</v>
      </c>
      <c r="D1647">
        <v>47.6</v>
      </c>
      <c r="E1647" s="2">
        <f>C1647*D1647 / 100</f>
        <v>12.376000000000001</v>
      </c>
      <c r="F1647">
        <f>IF(F1646 &lt; 7, F1646 +1,1)</f>
        <v>1</v>
      </c>
      <c r="G1647" t="str">
        <f t="shared" si="25"/>
        <v/>
      </c>
    </row>
    <row r="1648" spans="1:7">
      <c r="A1648" s="1">
        <v>50287</v>
      </c>
      <c r="B1648" t="s">
        <v>16</v>
      </c>
      <c r="C1648">
        <v>18</v>
      </c>
      <c r="D1648">
        <v>5.3</v>
      </c>
      <c r="E1648" s="2">
        <f>C1648*D1648 / 100</f>
        <v>0.95399999999999996</v>
      </c>
      <c r="F1648">
        <f>IF(F1647 &lt; 7, F1647 +1,1)</f>
        <v>2</v>
      </c>
      <c r="G1648" t="str">
        <f t="shared" si="25"/>
        <v/>
      </c>
    </row>
    <row r="1649" spans="1:7">
      <c r="A1649" s="1">
        <v>50288</v>
      </c>
      <c r="B1649" t="s">
        <v>13</v>
      </c>
      <c r="C1649">
        <v>15.8</v>
      </c>
      <c r="D1649">
        <v>3.6</v>
      </c>
      <c r="E1649" s="2">
        <f>C1649*D1649 / 100</f>
        <v>0.56879999999999997</v>
      </c>
      <c r="F1649">
        <f>IF(F1648 &lt; 7, F1648 +1,1)</f>
        <v>3</v>
      </c>
      <c r="G1649" t="str">
        <f t="shared" si="25"/>
        <v/>
      </c>
    </row>
    <row r="1650" spans="1:7">
      <c r="A1650" s="1">
        <v>50289</v>
      </c>
      <c r="B1650" t="s">
        <v>12</v>
      </c>
      <c r="C1650">
        <v>14.1</v>
      </c>
      <c r="D1650">
        <v>6.8</v>
      </c>
      <c r="E1650" s="2">
        <f>C1650*D1650 / 100</f>
        <v>0.95879999999999999</v>
      </c>
      <c r="F1650">
        <f>IF(F1649 &lt; 7, F1649 +1,1)</f>
        <v>4</v>
      </c>
      <c r="G1650" t="str">
        <f t="shared" si="25"/>
        <v/>
      </c>
    </row>
    <row r="1651" spans="1:7">
      <c r="A1651" s="1">
        <v>50290</v>
      </c>
      <c r="B1651" t="s">
        <v>13</v>
      </c>
      <c r="C1651">
        <v>22.3</v>
      </c>
      <c r="D1651">
        <v>1.8</v>
      </c>
      <c r="E1651" s="2">
        <f>C1651*D1651 / 100</f>
        <v>0.40139999999999998</v>
      </c>
      <c r="F1651">
        <f>IF(F1650 &lt; 7, F1650 +1,1)</f>
        <v>5</v>
      </c>
      <c r="G1651" t="str">
        <f t="shared" si="25"/>
        <v/>
      </c>
    </row>
    <row r="1652" spans="1:7">
      <c r="A1652" s="1">
        <v>50291</v>
      </c>
      <c r="B1652" t="s">
        <v>36</v>
      </c>
      <c r="C1652">
        <v>22.2</v>
      </c>
      <c r="D1652">
        <v>0</v>
      </c>
      <c r="E1652" s="2">
        <f>C1652*D1652 / 100</f>
        <v>0</v>
      </c>
      <c r="F1652">
        <f>IF(F1651 &lt; 7, F1651 +1,1)</f>
        <v>6</v>
      </c>
      <c r="G1652" t="str">
        <f t="shared" si="25"/>
        <v/>
      </c>
    </row>
    <row r="1653" spans="1:7">
      <c r="A1653" s="1">
        <v>50292</v>
      </c>
      <c r="B1653" t="s">
        <v>30</v>
      </c>
      <c r="C1653">
        <v>23.8</v>
      </c>
      <c r="D1653">
        <v>0</v>
      </c>
      <c r="E1653" s="2">
        <f>C1653*D1653 / 100</f>
        <v>0</v>
      </c>
      <c r="F1653">
        <f>IF(F1652 &lt; 7, F1652 +1,1)</f>
        <v>7</v>
      </c>
      <c r="G1653">
        <f t="shared" si="25"/>
        <v>142.19999999999999</v>
      </c>
    </row>
    <row r="1654" spans="1:7">
      <c r="A1654" s="1">
        <v>50293</v>
      </c>
      <c r="B1654" t="s">
        <v>11</v>
      </c>
      <c r="C1654">
        <v>10</v>
      </c>
      <c r="D1654">
        <v>8.1</v>
      </c>
      <c r="E1654" s="2">
        <f>C1654*D1654 / 100</f>
        <v>0.81</v>
      </c>
      <c r="F1654">
        <f>IF(F1653 &lt; 7, F1653 +1,1)</f>
        <v>1</v>
      </c>
      <c r="G1654" t="str">
        <f t="shared" si="25"/>
        <v/>
      </c>
    </row>
    <row r="1655" spans="1:7">
      <c r="A1655" s="1">
        <v>50294</v>
      </c>
      <c r="B1655" t="s">
        <v>13</v>
      </c>
      <c r="C1655">
        <v>23.8</v>
      </c>
      <c r="D1655">
        <v>0</v>
      </c>
      <c r="E1655" s="2">
        <f>C1655*D1655 / 100</f>
        <v>0</v>
      </c>
      <c r="F1655">
        <f>IF(F1654 &lt; 7, F1654 +1,1)</f>
        <v>2</v>
      </c>
      <c r="G1655" t="str">
        <f t="shared" si="25"/>
        <v/>
      </c>
    </row>
    <row r="1656" spans="1:7">
      <c r="A1656" s="1">
        <v>50295</v>
      </c>
      <c r="B1656" t="s">
        <v>6</v>
      </c>
      <c r="C1656">
        <v>13.4</v>
      </c>
      <c r="D1656">
        <v>2.6</v>
      </c>
      <c r="E1656" s="2">
        <f>C1656*D1656 / 100</f>
        <v>0.34840000000000004</v>
      </c>
      <c r="F1656">
        <f>IF(F1655 &lt; 7, F1655 +1,1)</f>
        <v>3</v>
      </c>
      <c r="G1656" t="str">
        <f t="shared" si="25"/>
        <v/>
      </c>
    </row>
    <row r="1657" spans="1:7">
      <c r="A1657" s="1">
        <v>50296</v>
      </c>
      <c r="B1657" t="s">
        <v>13</v>
      </c>
      <c r="C1657">
        <v>17</v>
      </c>
      <c r="D1657">
        <v>1.5</v>
      </c>
      <c r="E1657" s="2">
        <f>C1657*D1657 / 100</f>
        <v>0.255</v>
      </c>
      <c r="F1657">
        <f>IF(F1656 &lt; 7, F1656 +1,1)</f>
        <v>4</v>
      </c>
      <c r="G1657" t="str">
        <f t="shared" si="25"/>
        <v/>
      </c>
    </row>
    <row r="1658" spans="1:7">
      <c r="A1658" s="1">
        <v>50297</v>
      </c>
      <c r="B1658" t="s">
        <v>30</v>
      </c>
      <c r="C1658">
        <v>25.5</v>
      </c>
      <c r="D1658">
        <v>0</v>
      </c>
      <c r="E1658" s="2">
        <f>C1658*D1658 / 100</f>
        <v>0</v>
      </c>
      <c r="F1658">
        <f>IF(F1657 &lt; 7, F1657 +1,1)</f>
        <v>5</v>
      </c>
      <c r="G1658" t="str">
        <f t="shared" si="25"/>
        <v/>
      </c>
    </row>
    <row r="1659" spans="1:7">
      <c r="A1659" s="1">
        <v>50298</v>
      </c>
      <c r="B1659" t="s">
        <v>11</v>
      </c>
      <c r="C1659">
        <v>19.7</v>
      </c>
      <c r="D1659">
        <v>0</v>
      </c>
      <c r="E1659" s="2">
        <f>C1659*D1659 / 100</f>
        <v>0</v>
      </c>
      <c r="F1659">
        <f>IF(F1658 &lt; 7, F1658 +1,1)</f>
        <v>6</v>
      </c>
      <c r="G1659" t="str">
        <f t="shared" si="25"/>
        <v/>
      </c>
    </row>
    <row r="1660" spans="1:7">
      <c r="A1660" s="1">
        <v>50299</v>
      </c>
      <c r="B1660" t="s">
        <v>21</v>
      </c>
      <c r="C1660">
        <v>22.8</v>
      </c>
      <c r="D1660">
        <v>10.7</v>
      </c>
      <c r="E1660" s="2">
        <f>C1660*D1660 / 100</f>
        <v>2.4396</v>
      </c>
      <c r="F1660">
        <f>IF(F1659 &lt; 7, F1659 +1,1)</f>
        <v>7</v>
      </c>
      <c r="G1660">
        <f t="shared" si="25"/>
        <v>132.19999999999999</v>
      </c>
    </row>
    <row r="1661" spans="1:7">
      <c r="A1661" s="1">
        <v>50300</v>
      </c>
      <c r="B1661" t="s">
        <v>31</v>
      </c>
      <c r="C1661">
        <v>25.5</v>
      </c>
      <c r="D1661">
        <v>0</v>
      </c>
      <c r="E1661" s="2">
        <f>C1661*D1661 / 100</f>
        <v>0</v>
      </c>
      <c r="F1661">
        <f>IF(F1660 &lt; 7, F1660 +1,1)</f>
        <v>1</v>
      </c>
      <c r="G1661" t="str">
        <f t="shared" si="25"/>
        <v/>
      </c>
    </row>
    <row r="1662" spans="1:7">
      <c r="A1662" s="1">
        <v>50301</v>
      </c>
      <c r="B1662" t="s">
        <v>21</v>
      </c>
      <c r="C1662">
        <v>16.8</v>
      </c>
      <c r="D1662">
        <v>2.2000000000000002</v>
      </c>
      <c r="E1662" s="2">
        <f>C1662*D1662 / 100</f>
        <v>0.3696000000000001</v>
      </c>
      <c r="F1662">
        <f>IF(F1661 &lt; 7, F1661 +1,1)</f>
        <v>2</v>
      </c>
      <c r="G1662" t="str">
        <f t="shared" si="25"/>
        <v/>
      </c>
    </row>
    <row r="1663" spans="1:7">
      <c r="A1663" s="1">
        <v>50302</v>
      </c>
      <c r="B1663" t="s">
        <v>6</v>
      </c>
      <c r="C1663">
        <v>25.3</v>
      </c>
      <c r="D1663">
        <v>2.5</v>
      </c>
      <c r="E1663" s="2">
        <f>C1663*D1663 / 100</f>
        <v>0.63249999999999995</v>
      </c>
      <c r="F1663">
        <f>IF(F1662 &lt; 7, F1662 +1,1)</f>
        <v>3</v>
      </c>
      <c r="G1663" t="str">
        <f t="shared" si="25"/>
        <v/>
      </c>
    </row>
    <row r="1664" spans="1:7">
      <c r="A1664" s="1">
        <v>50303</v>
      </c>
      <c r="B1664" t="s">
        <v>35</v>
      </c>
      <c r="C1664">
        <v>26.3</v>
      </c>
      <c r="D1664">
        <v>0.4</v>
      </c>
      <c r="E1664" s="2">
        <f>C1664*D1664 / 100</f>
        <v>0.10520000000000002</v>
      </c>
      <c r="F1664">
        <f>IF(F1663 &lt; 7, F1663 +1,1)</f>
        <v>4</v>
      </c>
      <c r="G1664" t="str">
        <f t="shared" si="25"/>
        <v/>
      </c>
    </row>
    <row r="1665" spans="1:7">
      <c r="A1665" s="1">
        <v>50304</v>
      </c>
      <c r="B1665" t="s">
        <v>19</v>
      </c>
      <c r="C1665">
        <v>21.9</v>
      </c>
      <c r="D1665">
        <v>7</v>
      </c>
      <c r="E1665" s="2">
        <f>C1665*D1665 / 100</f>
        <v>1.5329999999999999</v>
      </c>
      <c r="F1665">
        <f>IF(F1664 &lt; 7, F1664 +1,1)</f>
        <v>5</v>
      </c>
      <c r="G1665" t="str">
        <f t="shared" si="25"/>
        <v/>
      </c>
    </row>
    <row r="1666" spans="1:7">
      <c r="A1666" s="1">
        <v>50305</v>
      </c>
      <c r="B1666" t="s">
        <v>19</v>
      </c>
      <c r="C1666">
        <v>11.2</v>
      </c>
      <c r="D1666">
        <v>0</v>
      </c>
      <c r="E1666" s="2">
        <f>C1666*D1666 / 100</f>
        <v>0</v>
      </c>
      <c r="F1666">
        <f>IF(F1665 &lt; 7, F1665 +1,1)</f>
        <v>6</v>
      </c>
      <c r="G1666" t="str">
        <f t="shared" si="25"/>
        <v/>
      </c>
    </row>
    <row r="1667" spans="1:7">
      <c r="A1667" s="1">
        <v>50306</v>
      </c>
      <c r="B1667" t="s">
        <v>33</v>
      </c>
      <c r="C1667">
        <v>10.6</v>
      </c>
      <c r="D1667">
        <v>5.2</v>
      </c>
      <c r="E1667" s="2">
        <f>C1667*D1667 / 100</f>
        <v>0.55120000000000002</v>
      </c>
      <c r="F1667">
        <f>IF(F1666 &lt; 7, F1666 +1,1)</f>
        <v>7</v>
      </c>
      <c r="G1667">
        <f t="shared" si="25"/>
        <v>137.6</v>
      </c>
    </row>
    <row r="1668" spans="1:7">
      <c r="A1668" s="1">
        <v>50307</v>
      </c>
      <c r="B1668" t="s">
        <v>34</v>
      </c>
      <c r="C1668">
        <v>17.7</v>
      </c>
      <c r="D1668">
        <v>1</v>
      </c>
      <c r="E1668" s="2">
        <f>C1668*D1668 / 100</f>
        <v>0.17699999999999999</v>
      </c>
      <c r="F1668">
        <f>IF(F1667 &lt; 7, F1667 +1,1)</f>
        <v>1</v>
      </c>
      <c r="G1668" t="str">
        <f t="shared" si="25"/>
        <v/>
      </c>
    </row>
    <row r="1669" spans="1:7">
      <c r="A1669" s="1">
        <v>50308</v>
      </c>
      <c r="B1669" t="s">
        <v>16</v>
      </c>
      <c r="C1669">
        <v>19.899999999999999</v>
      </c>
      <c r="D1669">
        <v>0</v>
      </c>
      <c r="E1669" s="2">
        <f>C1669*D1669 / 100</f>
        <v>0</v>
      </c>
      <c r="F1669">
        <f>IF(F1668 &lt; 7, F1668 +1,1)</f>
        <v>2</v>
      </c>
      <c r="G1669" t="str">
        <f t="shared" si="25"/>
        <v/>
      </c>
    </row>
    <row r="1670" spans="1:7">
      <c r="A1670" s="1">
        <v>50309</v>
      </c>
      <c r="B1670" t="s">
        <v>21</v>
      </c>
      <c r="C1670">
        <v>25.1</v>
      </c>
      <c r="D1670">
        <v>42.1</v>
      </c>
      <c r="E1670" s="2">
        <f>C1670*D1670 / 100</f>
        <v>10.5671</v>
      </c>
      <c r="F1670">
        <f>IF(F1669 &lt; 7, F1669 +1,1)</f>
        <v>3</v>
      </c>
      <c r="G1670" t="str">
        <f t="shared" si="25"/>
        <v/>
      </c>
    </row>
    <row r="1671" spans="1:7">
      <c r="A1671" s="1">
        <v>50310</v>
      </c>
      <c r="B1671" t="s">
        <v>26</v>
      </c>
      <c r="C1671">
        <v>18.5</v>
      </c>
      <c r="D1671">
        <v>0.3</v>
      </c>
      <c r="E1671" s="2">
        <f>C1671*D1671 / 100</f>
        <v>5.5500000000000001E-2</v>
      </c>
      <c r="F1671">
        <f>IF(F1670 &lt; 7, F1670 +1,1)</f>
        <v>4</v>
      </c>
      <c r="G1671" t="str">
        <f t="shared" si="25"/>
        <v/>
      </c>
    </row>
    <row r="1672" spans="1:7">
      <c r="A1672" s="1">
        <v>50311</v>
      </c>
      <c r="B1672" t="s">
        <v>21</v>
      </c>
      <c r="C1672">
        <v>25.5</v>
      </c>
      <c r="D1672">
        <v>25.3</v>
      </c>
      <c r="E1672" s="2">
        <f>C1672*D1672 / 100</f>
        <v>6.4514999999999993</v>
      </c>
      <c r="F1672">
        <f>IF(F1671 &lt; 7, F1671 +1,1)</f>
        <v>5</v>
      </c>
      <c r="G1672" t="str">
        <f t="shared" si="25"/>
        <v/>
      </c>
    </row>
    <row r="1673" spans="1:7">
      <c r="A1673" s="1">
        <v>50312</v>
      </c>
      <c r="B1673" t="s">
        <v>21</v>
      </c>
      <c r="C1673">
        <v>12.8</v>
      </c>
      <c r="D1673">
        <v>0</v>
      </c>
      <c r="E1673" s="2">
        <f>C1673*D1673 / 100</f>
        <v>0</v>
      </c>
      <c r="F1673">
        <f>IF(F1672 &lt; 7, F1672 +1,1)</f>
        <v>6</v>
      </c>
      <c r="G1673" t="str">
        <f t="shared" ref="G1673:G1736" si="26">IF(F1673=7, SUM(C1667:C1673), "")</f>
        <v/>
      </c>
    </row>
    <row r="1674" spans="1:7">
      <c r="A1674" s="1">
        <v>50313</v>
      </c>
      <c r="B1674" t="s">
        <v>36</v>
      </c>
      <c r="C1674">
        <v>23.6</v>
      </c>
      <c r="D1674">
        <v>34.299999999999997</v>
      </c>
      <c r="E1674" s="2">
        <f>C1674*D1674 / 100</f>
        <v>8.0947999999999993</v>
      </c>
      <c r="F1674">
        <f>IF(F1673 &lt; 7, F1673 +1,1)</f>
        <v>7</v>
      </c>
      <c r="G1674">
        <f t="shared" si="26"/>
        <v>143.1</v>
      </c>
    </row>
    <row r="1675" spans="1:7">
      <c r="A1675" s="1">
        <v>50314</v>
      </c>
      <c r="B1675" t="s">
        <v>33</v>
      </c>
      <c r="C1675">
        <v>13.1</v>
      </c>
      <c r="D1675">
        <v>2</v>
      </c>
      <c r="E1675" s="2">
        <f>C1675*D1675 / 100</f>
        <v>0.26200000000000001</v>
      </c>
      <c r="F1675">
        <f>IF(F1674 &lt; 7, F1674 +1,1)</f>
        <v>1</v>
      </c>
      <c r="G1675" t="str">
        <f t="shared" si="26"/>
        <v/>
      </c>
    </row>
    <row r="1676" spans="1:7">
      <c r="A1676" s="1">
        <v>50315</v>
      </c>
      <c r="B1676" t="s">
        <v>6</v>
      </c>
      <c r="C1676">
        <v>23</v>
      </c>
      <c r="D1676">
        <v>0</v>
      </c>
      <c r="E1676" s="2">
        <f>C1676*D1676 / 100</f>
        <v>0</v>
      </c>
      <c r="F1676">
        <f>IF(F1675 &lt; 7, F1675 +1,1)</f>
        <v>2</v>
      </c>
      <c r="G1676" t="str">
        <f t="shared" si="26"/>
        <v/>
      </c>
    </row>
    <row r="1677" spans="1:7">
      <c r="A1677" s="1">
        <v>50316</v>
      </c>
      <c r="B1677" t="s">
        <v>19</v>
      </c>
      <c r="C1677">
        <v>13</v>
      </c>
      <c r="D1677">
        <v>15.8</v>
      </c>
      <c r="E1677" s="2">
        <f>C1677*D1677 / 100</f>
        <v>2.0540000000000003</v>
      </c>
      <c r="F1677">
        <f>IF(F1676 &lt; 7, F1676 +1,1)</f>
        <v>3</v>
      </c>
      <c r="G1677" t="str">
        <f t="shared" si="26"/>
        <v/>
      </c>
    </row>
    <row r="1678" spans="1:7">
      <c r="A1678" s="1">
        <v>50317</v>
      </c>
      <c r="B1678" t="s">
        <v>26</v>
      </c>
      <c r="C1678">
        <v>19.5</v>
      </c>
      <c r="D1678">
        <v>8</v>
      </c>
      <c r="E1678" s="2">
        <f>C1678*D1678 / 100</f>
        <v>1.56</v>
      </c>
      <c r="F1678">
        <f>IF(F1677 &lt; 7, F1677 +1,1)</f>
        <v>4</v>
      </c>
      <c r="G1678" t="str">
        <f t="shared" si="26"/>
        <v/>
      </c>
    </row>
    <row r="1679" spans="1:7">
      <c r="A1679" s="1">
        <v>50318</v>
      </c>
      <c r="B1679" t="s">
        <v>16</v>
      </c>
      <c r="C1679">
        <v>19.2</v>
      </c>
      <c r="D1679">
        <v>0</v>
      </c>
      <c r="E1679" s="2">
        <f>C1679*D1679 / 100</f>
        <v>0</v>
      </c>
      <c r="F1679">
        <f>IF(F1678 &lt; 7, F1678 +1,1)</f>
        <v>5</v>
      </c>
      <c r="G1679" t="str">
        <f t="shared" si="26"/>
        <v/>
      </c>
    </row>
    <row r="1680" spans="1:7">
      <c r="A1680" s="1">
        <v>50319</v>
      </c>
      <c r="B1680" t="s">
        <v>10</v>
      </c>
      <c r="C1680">
        <v>28.3</v>
      </c>
      <c r="D1680">
        <v>1.1000000000000001</v>
      </c>
      <c r="E1680" s="2">
        <f>C1680*D1680 / 100</f>
        <v>0.31130000000000002</v>
      </c>
      <c r="F1680">
        <f>IF(F1679 &lt; 7, F1679 +1,1)</f>
        <v>6</v>
      </c>
      <c r="G1680" t="str">
        <f t="shared" si="26"/>
        <v/>
      </c>
    </row>
    <row r="1681" spans="1:7">
      <c r="A1681" s="1">
        <v>50320</v>
      </c>
      <c r="B1681" t="s">
        <v>21</v>
      </c>
      <c r="C1681">
        <v>18.100000000000001</v>
      </c>
      <c r="D1681">
        <v>0</v>
      </c>
      <c r="E1681" s="2">
        <f>C1681*D1681 / 100</f>
        <v>0</v>
      </c>
      <c r="F1681">
        <f>IF(F1680 &lt; 7, F1680 +1,1)</f>
        <v>7</v>
      </c>
      <c r="G1681">
        <f t="shared" si="26"/>
        <v>134.19999999999999</v>
      </c>
    </row>
    <row r="1682" spans="1:7">
      <c r="A1682" s="1">
        <v>50321</v>
      </c>
      <c r="B1682" t="s">
        <v>36</v>
      </c>
      <c r="C1682">
        <v>17.5</v>
      </c>
      <c r="D1682">
        <v>13.3</v>
      </c>
      <c r="E1682" s="2">
        <f>C1682*D1682 / 100</f>
        <v>2.3275000000000001</v>
      </c>
      <c r="F1682">
        <f>IF(F1681 &lt; 7, F1681 +1,1)</f>
        <v>1</v>
      </c>
      <c r="G1682" t="str">
        <f t="shared" si="26"/>
        <v/>
      </c>
    </row>
    <row r="1683" spans="1:7">
      <c r="A1683" s="1">
        <v>50322</v>
      </c>
      <c r="B1683" t="s">
        <v>30</v>
      </c>
      <c r="C1683">
        <v>26.7</v>
      </c>
      <c r="D1683">
        <v>12.9</v>
      </c>
      <c r="E1683" s="2">
        <f>C1683*D1683 / 100</f>
        <v>3.4443000000000001</v>
      </c>
      <c r="F1683">
        <f>IF(F1682 &lt; 7, F1682 +1,1)</f>
        <v>2</v>
      </c>
      <c r="G1683" t="str">
        <f t="shared" si="26"/>
        <v/>
      </c>
    </row>
    <row r="1684" spans="1:7">
      <c r="A1684" s="1">
        <v>50323</v>
      </c>
      <c r="B1684" t="s">
        <v>36</v>
      </c>
      <c r="C1684">
        <v>26.6</v>
      </c>
      <c r="D1684">
        <v>0</v>
      </c>
      <c r="E1684" s="2">
        <f>C1684*D1684 / 100</f>
        <v>0</v>
      </c>
      <c r="F1684">
        <f>IF(F1683 &lt; 7, F1683 +1,1)</f>
        <v>3</v>
      </c>
      <c r="G1684" t="str">
        <f t="shared" si="26"/>
        <v/>
      </c>
    </row>
    <row r="1685" spans="1:7">
      <c r="A1685" s="1">
        <v>50324</v>
      </c>
      <c r="B1685" t="s">
        <v>24</v>
      </c>
      <c r="C1685">
        <v>12.2</v>
      </c>
      <c r="D1685">
        <v>1.8</v>
      </c>
      <c r="E1685" s="2">
        <f>C1685*D1685 / 100</f>
        <v>0.21960000000000002</v>
      </c>
      <c r="F1685">
        <f>IF(F1684 &lt; 7, F1684 +1,1)</f>
        <v>4</v>
      </c>
      <c r="G1685" t="str">
        <f t="shared" si="26"/>
        <v/>
      </c>
    </row>
    <row r="1686" spans="1:7">
      <c r="A1686" s="1">
        <v>50325</v>
      </c>
      <c r="B1686" t="s">
        <v>16</v>
      </c>
      <c r="C1686">
        <v>27.4</v>
      </c>
      <c r="D1686">
        <v>4.8</v>
      </c>
      <c r="E1686" s="2">
        <f>C1686*D1686 / 100</f>
        <v>1.3151999999999999</v>
      </c>
      <c r="F1686">
        <f>IF(F1685 &lt; 7, F1685 +1,1)</f>
        <v>5</v>
      </c>
      <c r="G1686" t="str">
        <f t="shared" si="26"/>
        <v/>
      </c>
    </row>
    <row r="1687" spans="1:7">
      <c r="A1687" s="1">
        <v>50326</v>
      </c>
      <c r="B1687" t="s">
        <v>19</v>
      </c>
      <c r="C1687">
        <v>24.9</v>
      </c>
      <c r="D1687">
        <v>1.6</v>
      </c>
      <c r="E1687" s="2">
        <f>C1687*D1687 / 100</f>
        <v>0.39840000000000003</v>
      </c>
      <c r="F1687">
        <f>IF(F1686 &lt; 7, F1686 +1,1)</f>
        <v>6</v>
      </c>
      <c r="G1687" t="str">
        <f t="shared" si="26"/>
        <v/>
      </c>
    </row>
    <row r="1688" spans="1:7">
      <c r="A1688" s="1">
        <v>50327</v>
      </c>
      <c r="B1688" t="s">
        <v>14</v>
      </c>
      <c r="C1688">
        <v>21.4</v>
      </c>
      <c r="D1688">
        <v>5.5</v>
      </c>
      <c r="E1688" s="2">
        <f>C1688*D1688 / 100</f>
        <v>1.1769999999999998</v>
      </c>
      <c r="F1688">
        <f>IF(F1687 &lt; 7, F1687 +1,1)</f>
        <v>7</v>
      </c>
      <c r="G1688">
        <f t="shared" si="26"/>
        <v>156.70000000000002</v>
      </c>
    </row>
    <row r="1689" spans="1:7">
      <c r="A1689" s="1">
        <v>50328</v>
      </c>
      <c r="B1689" t="s">
        <v>25</v>
      </c>
      <c r="C1689">
        <v>14.1</v>
      </c>
      <c r="D1689">
        <v>0</v>
      </c>
      <c r="E1689" s="2">
        <f>C1689*D1689 / 100</f>
        <v>0</v>
      </c>
      <c r="F1689">
        <f>IF(F1688 &lt; 7, F1688 +1,1)</f>
        <v>1</v>
      </c>
      <c r="G1689" t="str">
        <f t="shared" si="26"/>
        <v/>
      </c>
    </row>
    <row r="1690" spans="1:7">
      <c r="A1690" s="1">
        <v>50329</v>
      </c>
      <c r="B1690" t="s">
        <v>35</v>
      </c>
      <c r="C1690">
        <v>15.4</v>
      </c>
      <c r="D1690">
        <v>2.1</v>
      </c>
      <c r="E1690" s="2">
        <f>C1690*D1690 / 100</f>
        <v>0.32340000000000002</v>
      </c>
      <c r="F1690">
        <f>IF(F1689 &lt; 7, F1689 +1,1)</f>
        <v>2</v>
      </c>
      <c r="G1690" t="str">
        <f t="shared" si="26"/>
        <v/>
      </c>
    </row>
    <row r="1691" spans="1:7">
      <c r="A1691" s="1">
        <v>50330</v>
      </c>
      <c r="B1691" t="s">
        <v>19</v>
      </c>
      <c r="C1691">
        <v>27.7</v>
      </c>
      <c r="D1691">
        <v>0</v>
      </c>
      <c r="E1691" s="2">
        <f>C1691*D1691 / 100</f>
        <v>0</v>
      </c>
      <c r="F1691">
        <f>IF(F1690 &lt; 7, F1690 +1,1)</f>
        <v>3</v>
      </c>
      <c r="G1691" t="str">
        <f t="shared" si="26"/>
        <v/>
      </c>
    </row>
    <row r="1692" spans="1:7">
      <c r="A1692" s="1">
        <v>50331</v>
      </c>
      <c r="B1692" t="s">
        <v>21</v>
      </c>
      <c r="C1692">
        <v>15.5</v>
      </c>
      <c r="D1692">
        <v>43.4</v>
      </c>
      <c r="E1692" s="2">
        <f>C1692*D1692 / 100</f>
        <v>6.7269999999999994</v>
      </c>
      <c r="F1692">
        <f>IF(F1691 &lt; 7, F1691 +1,1)</f>
        <v>4</v>
      </c>
      <c r="G1692" t="str">
        <f t="shared" si="26"/>
        <v/>
      </c>
    </row>
    <row r="1693" spans="1:7">
      <c r="A1693" s="1">
        <v>50332</v>
      </c>
      <c r="B1693" t="s">
        <v>16</v>
      </c>
      <c r="C1693">
        <v>26.8</v>
      </c>
      <c r="D1693">
        <v>0</v>
      </c>
      <c r="E1693" s="2">
        <f>C1693*D1693 / 100</f>
        <v>0</v>
      </c>
      <c r="F1693">
        <f>IF(F1692 &lt; 7, F1692 +1,1)</f>
        <v>5</v>
      </c>
      <c r="G1693" t="str">
        <f t="shared" si="26"/>
        <v/>
      </c>
    </row>
    <row r="1694" spans="1:7">
      <c r="A1694" s="1">
        <v>50333</v>
      </c>
      <c r="B1694" t="s">
        <v>19</v>
      </c>
      <c r="C1694">
        <v>23.1</v>
      </c>
      <c r="D1694">
        <v>9.1</v>
      </c>
      <c r="E1694" s="2">
        <f>C1694*D1694 / 100</f>
        <v>2.1021000000000001</v>
      </c>
      <c r="F1694">
        <f>IF(F1693 &lt; 7, F1693 +1,1)</f>
        <v>6</v>
      </c>
      <c r="G1694" t="str">
        <f t="shared" si="26"/>
        <v/>
      </c>
    </row>
    <row r="1695" spans="1:7">
      <c r="A1695" s="1">
        <v>50334</v>
      </c>
      <c r="B1695" t="s">
        <v>30</v>
      </c>
      <c r="C1695">
        <v>22.8</v>
      </c>
      <c r="D1695">
        <v>12.9</v>
      </c>
      <c r="E1695" s="2">
        <f>C1695*D1695 / 100</f>
        <v>2.9412000000000003</v>
      </c>
      <c r="F1695">
        <f>IF(F1694 &lt; 7, F1694 +1,1)</f>
        <v>7</v>
      </c>
      <c r="G1695">
        <f t="shared" si="26"/>
        <v>145.4</v>
      </c>
    </row>
    <row r="1696" spans="1:7">
      <c r="A1696" s="1">
        <v>50335</v>
      </c>
      <c r="B1696" t="s">
        <v>21</v>
      </c>
      <c r="C1696">
        <v>17.2</v>
      </c>
      <c r="D1696">
        <v>0</v>
      </c>
      <c r="E1696" s="2">
        <f>C1696*D1696 / 100</f>
        <v>0</v>
      </c>
      <c r="F1696">
        <f>IF(F1695 &lt; 7, F1695 +1,1)</f>
        <v>1</v>
      </c>
      <c r="G1696" t="str">
        <f t="shared" si="26"/>
        <v/>
      </c>
    </row>
    <row r="1697" spans="1:7">
      <c r="A1697" s="1">
        <v>50336</v>
      </c>
      <c r="B1697" t="s">
        <v>21</v>
      </c>
      <c r="C1697">
        <v>29.3</v>
      </c>
      <c r="D1697">
        <v>6.1</v>
      </c>
      <c r="E1697" s="2">
        <f>C1697*D1697 / 100</f>
        <v>1.7872999999999999</v>
      </c>
      <c r="F1697">
        <f>IF(F1696 &lt; 7, F1696 +1,1)</f>
        <v>2</v>
      </c>
      <c r="G1697" t="str">
        <f t="shared" si="26"/>
        <v/>
      </c>
    </row>
    <row r="1698" spans="1:7">
      <c r="A1698" s="1">
        <v>50337</v>
      </c>
      <c r="B1698" t="s">
        <v>19</v>
      </c>
      <c r="C1698">
        <v>19.5</v>
      </c>
      <c r="D1698">
        <v>14.2</v>
      </c>
      <c r="E1698" s="2">
        <f>C1698*D1698 / 100</f>
        <v>2.7689999999999997</v>
      </c>
      <c r="F1698">
        <f>IF(F1697 &lt; 7, F1697 +1,1)</f>
        <v>3</v>
      </c>
      <c r="G1698" t="str">
        <f t="shared" si="26"/>
        <v/>
      </c>
    </row>
    <row r="1699" spans="1:7">
      <c r="A1699" s="1">
        <v>50338</v>
      </c>
      <c r="B1699" t="s">
        <v>36</v>
      </c>
      <c r="C1699">
        <v>28.1</v>
      </c>
      <c r="D1699">
        <v>9.4</v>
      </c>
      <c r="E1699" s="2">
        <f>C1699*D1699 / 100</f>
        <v>2.6414000000000004</v>
      </c>
      <c r="F1699">
        <f>IF(F1698 &lt; 7, F1698 +1,1)</f>
        <v>4</v>
      </c>
      <c r="G1699" t="str">
        <f t="shared" si="26"/>
        <v/>
      </c>
    </row>
    <row r="1700" spans="1:7">
      <c r="A1700" s="1">
        <v>50339</v>
      </c>
      <c r="B1700" t="s">
        <v>9</v>
      </c>
      <c r="C1700">
        <v>21.1</v>
      </c>
      <c r="D1700">
        <v>12</v>
      </c>
      <c r="E1700" s="2">
        <f>C1700*D1700 / 100</f>
        <v>2.532</v>
      </c>
      <c r="F1700">
        <f>IF(F1699 &lt; 7, F1699 +1,1)</f>
        <v>5</v>
      </c>
      <c r="G1700" t="str">
        <f t="shared" si="26"/>
        <v/>
      </c>
    </row>
    <row r="1701" spans="1:7">
      <c r="A1701" s="1">
        <v>50340</v>
      </c>
      <c r="B1701" t="s">
        <v>16</v>
      </c>
      <c r="C1701">
        <v>23.8</v>
      </c>
      <c r="D1701">
        <v>13.3</v>
      </c>
      <c r="E1701" s="2">
        <f>C1701*D1701 / 100</f>
        <v>3.1654</v>
      </c>
      <c r="F1701">
        <f>IF(F1700 &lt; 7, F1700 +1,1)</f>
        <v>6</v>
      </c>
      <c r="G1701" t="str">
        <f t="shared" si="26"/>
        <v/>
      </c>
    </row>
    <row r="1702" spans="1:7">
      <c r="A1702" s="1">
        <v>50341</v>
      </c>
      <c r="B1702" t="s">
        <v>13</v>
      </c>
      <c r="C1702">
        <v>19.399999999999999</v>
      </c>
      <c r="D1702">
        <v>2.2000000000000002</v>
      </c>
      <c r="E1702" s="2">
        <f>C1702*D1702 / 100</f>
        <v>0.42680000000000001</v>
      </c>
      <c r="F1702">
        <f>IF(F1701 &lt; 7, F1701 +1,1)</f>
        <v>7</v>
      </c>
      <c r="G1702">
        <f t="shared" si="26"/>
        <v>158.4</v>
      </c>
    </row>
    <row r="1703" spans="1:7">
      <c r="A1703" s="1">
        <v>50342</v>
      </c>
      <c r="B1703" t="s">
        <v>16</v>
      </c>
      <c r="C1703">
        <v>25.8</v>
      </c>
      <c r="D1703">
        <v>17.100000000000001</v>
      </c>
      <c r="E1703" s="2">
        <f>C1703*D1703 / 100</f>
        <v>4.4118000000000004</v>
      </c>
      <c r="F1703">
        <f>IF(F1702 &lt; 7, F1702 +1,1)</f>
        <v>1</v>
      </c>
      <c r="G1703" t="str">
        <f t="shared" si="26"/>
        <v/>
      </c>
    </row>
    <row r="1704" spans="1:7">
      <c r="A1704" s="1">
        <v>50343</v>
      </c>
      <c r="B1704" t="s">
        <v>16</v>
      </c>
      <c r="C1704">
        <v>30</v>
      </c>
      <c r="D1704">
        <v>6.3</v>
      </c>
      <c r="E1704" s="2">
        <f>C1704*D1704 / 100</f>
        <v>1.89</v>
      </c>
      <c r="F1704">
        <f>IF(F1703 &lt; 7, F1703 +1,1)</f>
        <v>2</v>
      </c>
      <c r="G1704" t="str">
        <f t="shared" si="26"/>
        <v/>
      </c>
    </row>
    <row r="1705" spans="1:7">
      <c r="A1705" s="1">
        <v>50344</v>
      </c>
      <c r="B1705" t="s">
        <v>21</v>
      </c>
      <c r="C1705">
        <v>11</v>
      </c>
      <c r="D1705">
        <v>0</v>
      </c>
      <c r="E1705" s="2">
        <f>C1705*D1705 / 100</f>
        <v>0</v>
      </c>
      <c r="F1705">
        <f>IF(F1704 &lt; 7, F1704 +1,1)</f>
        <v>3</v>
      </c>
      <c r="G1705" t="str">
        <f t="shared" si="26"/>
        <v/>
      </c>
    </row>
    <row r="1706" spans="1:7">
      <c r="A1706" s="1">
        <v>50345</v>
      </c>
      <c r="B1706" t="s">
        <v>36</v>
      </c>
      <c r="C1706">
        <v>27.2</v>
      </c>
      <c r="D1706">
        <v>0</v>
      </c>
      <c r="E1706" s="2">
        <f>C1706*D1706 / 100</f>
        <v>0</v>
      </c>
      <c r="F1706">
        <f>IF(F1705 &lt; 7, F1705 +1,1)</f>
        <v>4</v>
      </c>
      <c r="G1706" t="str">
        <f t="shared" si="26"/>
        <v/>
      </c>
    </row>
    <row r="1707" spans="1:7">
      <c r="A1707" s="1">
        <v>50346</v>
      </c>
      <c r="B1707" t="s">
        <v>16</v>
      </c>
      <c r="C1707">
        <v>18.3</v>
      </c>
      <c r="D1707">
        <v>8.4</v>
      </c>
      <c r="E1707" s="2">
        <f>C1707*D1707 / 100</f>
        <v>1.5371999999999999</v>
      </c>
      <c r="F1707">
        <f>IF(F1706 &lt; 7, F1706 +1,1)</f>
        <v>5</v>
      </c>
      <c r="G1707" t="str">
        <f t="shared" si="26"/>
        <v/>
      </c>
    </row>
    <row r="1708" spans="1:7">
      <c r="A1708" s="1">
        <v>50347</v>
      </c>
      <c r="B1708" t="s">
        <v>35</v>
      </c>
      <c r="C1708">
        <v>14</v>
      </c>
      <c r="D1708">
        <v>2.5</v>
      </c>
      <c r="E1708" s="2">
        <f>C1708*D1708 / 100</f>
        <v>0.35</v>
      </c>
      <c r="F1708">
        <f>IF(F1707 &lt; 7, F1707 +1,1)</f>
        <v>6</v>
      </c>
      <c r="G1708" t="str">
        <f t="shared" si="26"/>
        <v/>
      </c>
    </row>
    <row r="1709" spans="1:7">
      <c r="A1709" s="1">
        <v>50348</v>
      </c>
      <c r="B1709" t="s">
        <v>16</v>
      </c>
      <c r="C1709">
        <v>26.2</v>
      </c>
      <c r="D1709">
        <v>6.9</v>
      </c>
      <c r="E1709" s="2">
        <f>C1709*D1709 / 100</f>
        <v>1.8078000000000001</v>
      </c>
      <c r="F1709">
        <f>IF(F1708 &lt; 7, F1708 +1,1)</f>
        <v>7</v>
      </c>
      <c r="G1709">
        <f t="shared" si="26"/>
        <v>152.5</v>
      </c>
    </row>
    <row r="1710" spans="1:7">
      <c r="A1710" s="1">
        <v>50349</v>
      </c>
      <c r="B1710" t="s">
        <v>33</v>
      </c>
      <c r="C1710">
        <v>25.5</v>
      </c>
      <c r="D1710">
        <v>8.4</v>
      </c>
      <c r="E1710" s="2">
        <f>C1710*D1710 / 100</f>
        <v>2.1420000000000003</v>
      </c>
      <c r="F1710">
        <f>IF(F1709 &lt; 7, F1709 +1,1)</f>
        <v>1</v>
      </c>
      <c r="G1710" t="str">
        <f t="shared" si="26"/>
        <v/>
      </c>
    </row>
    <row r="1711" spans="1:7">
      <c r="A1711" s="1">
        <v>50350</v>
      </c>
      <c r="B1711" t="s">
        <v>29</v>
      </c>
      <c r="C1711">
        <v>23.1</v>
      </c>
      <c r="D1711">
        <v>11.4</v>
      </c>
      <c r="E1711" s="2">
        <f>C1711*D1711 / 100</f>
        <v>2.6334000000000004</v>
      </c>
      <c r="F1711">
        <f>IF(F1710 &lt; 7, F1710 +1,1)</f>
        <v>2</v>
      </c>
      <c r="G1711" t="str">
        <f t="shared" si="26"/>
        <v/>
      </c>
    </row>
    <row r="1712" spans="1:7">
      <c r="A1712" s="1">
        <v>50351</v>
      </c>
      <c r="B1712" t="s">
        <v>34</v>
      </c>
      <c r="C1712">
        <v>21.3</v>
      </c>
      <c r="D1712">
        <v>2.8</v>
      </c>
      <c r="E1712" s="2">
        <f>C1712*D1712 / 100</f>
        <v>0.59640000000000004</v>
      </c>
      <c r="F1712">
        <f>IF(F1711 &lt; 7, F1711 +1,1)</f>
        <v>3</v>
      </c>
      <c r="G1712" t="str">
        <f t="shared" si="26"/>
        <v/>
      </c>
    </row>
    <row r="1713" spans="1:7">
      <c r="A1713" s="1">
        <v>50352</v>
      </c>
      <c r="B1713" t="s">
        <v>34</v>
      </c>
      <c r="C1713">
        <v>16.3</v>
      </c>
      <c r="D1713">
        <v>7.6</v>
      </c>
      <c r="E1713" s="2">
        <f>C1713*D1713 / 100</f>
        <v>1.2387999999999999</v>
      </c>
      <c r="F1713">
        <f>IF(F1712 &lt; 7, F1712 +1,1)</f>
        <v>4</v>
      </c>
      <c r="G1713" t="str">
        <f t="shared" si="26"/>
        <v/>
      </c>
    </row>
    <row r="1714" spans="1:7">
      <c r="A1714" s="1">
        <v>50353</v>
      </c>
      <c r="B1714" t="s">
        <v>11</v>
      </c>
      <c r="C1714">
        <v>23.7</v>
      </c>
      <c r="D1714">
        <v>7.6</v>
      </c>
      <c r="E1714" s="2">
        <f>C1714*D1714 / 100</f>
        <v>1.8011999999999997</v>
      </c>
      <c r="F1714">
        <f>IF(F1713 &lt; 7, F1713 +1,1)</f>
        <v>5</v>
      </c>
      <c r="G1714" t="str">
        <f t="shared" si="26"/>
        <v/>
      </c>
    </row>
    <row r="1715" spans="1:7">
      <c r="A1715" s="1">
        <v>50354</v>
      </c>
      <c r="B1715" t="s">
        <v>29</v>
      </c>
      <c r="C1715">
        <v>24.8</v>
      </c>
      <c r="D1715">
        <v>0</v>
      </c>
      <c r="E1715" s="2">
        <f>C1715*D1715 / 100</f>
        <v>0</v>
      </c>
      <c r="F1715">
        <f>IF(F1714 &lt; 7, F1714 +1,1)</f>
        <v>6</v>
      </c>
      <c r="G1715" t="str">
        <f t="shared" si="26"/>
        <v/>
      </c>
    </row>
    <row r="1716" spans="1:7">
      <c r="A1716" s="1">
        <v>50355</v>
      </c>
      <c r="B1716" t="s">
        <v>32</v>
      </c>
      <c r="C1716">
        <v>21.7</v>
      </c>
      <c r="D1716">
        <v>1</v>
      </c>
      <c r="E1716" s="2">
        <f>C1716*D1716 / 100</f>
        <v>0.217</v>
      </c>
      <c r="F1716">
        <f>IF(F1715 &lt; 7, F1715 +1,1)</f>
        <v>7</v>
      </c>
      <c r="G1716">
        <f t="shared" si="26"/>
        <v>156.4</v>
      </c>
    </row>
    <row r="1717" spans="1:7">
      <c r="A1717" s="1">
        <v>50356</v>
      </c>
      <c r="B1717" t="s">
        <v>21</v>
      </c>
      <c r="C1717">
        <v>16.7</v>
      </c>
      <c r="D1717">
        <v>21</v>
      </c>
      <c r="E1717" s="2">
        <f>C1717*D1717 / 100</f>
        <v>3.5069999999999997</v>
      </c>
      <c r="F1717">
        <f>IF(F1716 &lt; 7, F1716 +1,1)</f>
        <v>1</v>
      </c>
      <c r="G1717" t="str">
        <f t="shared" si="26"/>
        <v/>
      </c>
    </row>
    <row r="1718" spans="1:7">
      <c r="A1718" s="1">
        <v>50357</v>
      </c>
      <c r="B1718" t="s">
        <v>6</v>
      </c>
      <c r="C1718">
        <v>22.3</v>
      </c>
      <c r="D1718">
        <v>0.1</v>
      </c>
      <c r="E1718" s="2">
        <f>C1718*D1718 / 100</f>
        <v>2.23E-2</v>
      </c>
      <c r="F1718">
        <f>IF(F1717 &lt; 7, F1717 +1,1)</f>
        <v>2</v>
      </c>
      <c r="G1718" t="str">
        <f t="shared" si="26"/>
        <v/>
      </c>
    </row>
    <row r="1719" spans="1:7">
      <c r="A1719" s="1">
        <v>50358</v>
      </c>
      <c r="B1719" t="s">
        <v>12</v>
      </c>
      <c r="C1719">
        <v>13.6</v>
      </c>
      <c r="D1719">
        <v>0</v>
      </c>
      <c r="E1719" s="2">
        <f>C1719*D1719 / 100</f>
        <v>0</v>
      </c>
      <c r="F1719">
        <f>IF(F1718 &lt; 7, F1718 +1,1)</f>
        <v>3</v>
      </c>
      <c r="G1719" t="str">
        <f t="shared" si="26"/>
        <v/>
      </c>
    </row>
    <row r="1720" spans="1:7">
      <c r="A1720" s="1">
        <v>50359</v>
      </c>
      <c r="B1720" t="s">
        <v>35</v>
      </c>
      <c r="C1720">
        <v>11.8</v>
      </c>
      <c r="D1720">
        <v>2.1</v>
      </c>
      <c r="E1720" s="2">
        <f>C1720*D1720 / 100</f>
        <v>0.24780000000000002</v>
      </c>
      <c r="F1720">
        <f>IF(F1719 &lt; 7, F1719 +1,1)</f>
        <v>4</v>
      </c>
      <c r="G1720" t="str">
        <f t="shared" si="26"/>
        <v/>
      </c>
    </row>
    <row r="1721" spans="1:7">
      <c r="A1721" s="1">
        <v>50360</v>
      </c>
      <c r="B1721" t="s">
        <v>9</v>
      </c>
      <c r="C1721">
        <v>11.1</v>
      </c>
      <c r="D1721">
        <v>0</v>
      </c>
      <c r="E1721" s="2">
        <f>C1721*D1721 / 100</f>
        <v>0</v>
      </c>
      <c r="F1721">
        <f>IF(F1720 &lt; 7, F1720 +1,1)</f>
        <v>5</v>
      </c>
      <c r="G1721" t="str">
        <f t="shared" si="26"/>
        <v/>
      </c>
    </row>
    <row r="1722" spans="1:7">
      <c r="A1722" s="1">
        <v>50361</v>
      </c>
      <c r="B1722" t="s">
        <v>19</v>
      </c>
      <c r="C1722">
        <v>11.2</v>
      </c>
      <c r="D1722">
        <v>15</v>
      </c>
      <c r="E1722" s="2">
        <f>C1722*D1722 / 100</f>
        <v>1.68</v>
      </c>
      <c r="F1722">
        <f>IF(F1721 &lt; 7, F1721 +1,1)</f>
        <v>6</v>
      </c>
      <c r="G1722" t="str">
        <f t="shared" si="26"/>
        <v/>
      </c>
    </row>
    <row r="1723" spans="1:7">
      <c r="A1723" s="1">
        <v>50362</v>
      </c>
      <c r="B1723" t="s">
        <v>6</v>
      </c>
      <c r="C1723">
        <v>19.100000000000001</v>
      </c>
      <c r="D1723">
        <v>0</v>
      </c>
      <c r="E1723" s="2">
        <f>C1723*D1723 / 100</f>
        <v>0</v>
      </c>
      <c r="F1723">
        <f>IF(F1722 &lt; 7, F1722 +1,1)</f>
        <v>7</v>
      </c>
      <c r="G1723">
        <f t="shared" si="26"/>
        <v>105.80000000000001</v>
      </c>
    </row>
    <row r="1724" spans="1:7">
      <c r="A1724" s="1">
        <v>50363</v>
      </c>
      <c r="B1724" t="s">
        <v>21</v>
      </c>
      <c r="C1724">
        <v>11.1</v>
      </c>
      <c r="D1724">
        <v>46.3</v>
      </c>
      <c r="E1724" s="2">
        <f>C1724*D1724 / 100</f>
        <v>5.1392999999999995</v>
      </c>
      <c r="F1724">
        <f>IF(F1723 &lt; 7, F1723 +1,1)</f>
        <v>1</v>
      </c>
      <c r="G1724" t="str">
        <f t="shared" si="26"/>
        <v/>
      </c>
    </row>
    <row r="1725" spans="1:7">
      <c r="A1725" s="1">
        <v>50364</v>
      </c>
      <c r="B1725" t="s">
        <v>29</v>
      </c>
      <c r="C1725">
        <v>15.1</v>
      </c>
      <c r="D1725">
        <v>6.2</v>
      </c>
      <c r="E1725" s="2">
        <f>C1725*D1725 / 100</f>
        <v>0.93620000000000003</v>
      </c>
      <c r="F1725">
        <f>IF(F1724 &lt; 7, F1724 +1,1)</f>
        <v>2</v>
      </c>
      <c r="G1725" t="str">
        <f t="shared" si="26"/>
        <v/>
      </c>
    </row>
    <row r="1726" spans="1:7">
      <c r="A1726" s="1">
        <v>50365</v>
      </c>
      <c r="B1726" t="s">
        <v>33</v>
      </c>
      <c r="C1726">
        <v>21.7</v>
      </c>
      <c r="D1726">
        <v>0</v>
      </c>
      <c r="E1726" s="2">
        <f>C1726*D1726 / 100</f>
        <v>0</v>
      </c>
      <c r="F1726">
        <f>IF(F1725 &lt; 7, F1725 +1,1)</f>
        <v>3</v>
      </c>
      <c r="G1726" t="str">
        <f t="shared" si="26"/>
        <v/>
      </c>
    </row>
    <row r="1727" spans="1:7">
      <c r="A1727" s="1">
        <v>50366</v>
      </c>
      <c r="B1727" t="s">
        <v>6</v>
      </c>
      <c r="C1727">
        <v>19.7</v>
      </c>
      <c r="D1727">
        <v>0.2</v>
      </c>
      <c r="E1727" s="2">
        <f>C1727*D1727 / 100</f>
        <v>3.9399999999999998E-2</v>
      </c>
      <c r="F1727">
        <f>IF(F1726 &lt; 7, F1726 +1,1)</f>
        <v>4</v>
      </c>
      <c r="G1727" t="str">
        <f t="shared" si="26"/>
        <v/>
      </c>
    </row>
    <row r="1728" spans="1:7">
      <c r="A1728" s="1">
        <v>50367</v>
      </c>
      <c r="B1728" t="s">
        <v>16</v>
      </c>
      <c r="C1728">
        <v>17.5</v>
      </c>
      <c r="D1728">
        <v>2.2000000000000002</v>
      </c>
      <c r="E1728" s="2">
        <f>C1728*D1728 / 100</f>
        <v>0.38500000000000001</v>
      </c>
      <c r="F1728">
        <f>IF(F1727 &lt; 7, F1727 +1,1)</f>
        <v>5</v>
      </c>
      <c r="G1728" t="str">
        <f t="shared" si="26"/>
        <v/>
      </c>
    </row>
    <row r="1729" spans="1:7">
      <c r="A1729" s="1">
        <v>50368</v>
      </c>
      <c r="B1729" t="s">
        <v>30</v>
      </c>
      <c r="C1729">
        <v>18.8</v>
      </c>
      <c r="D1729">
        <v>11.3</v>
      </c>
      <c r="E1729" s="2">
        <f>C1729*D1729 / 100</f>
        <v>2.1244000000000001</v>
      </c>
      <c r="F1729">
        <f>IF(F1728 &lt; 7, F1728 +1,1)</f>
        <v>6</v>
      </c>
      <c r="G1729" t="str">
        <f t="shared" si="26"/>
        <v/>
      </c>
    </row>
    <row r="1730" spans="1:7">
      <c r="A1730" s="1">
        <v>50369</v>
      </c>
      <c r="B1730" t="s">
        <v>17</v>
      </c>
      <c r="C1730">
        <v>19.600000000000001</v>
      </c>
      <c r="D1730">
        <v>0.3</v>
      </c>
      <c r="E1730" s="2">
        <f>C1730*D1730 / 100</f>
        <v>5.8799999999999998E-2</v>
      </c>
      <c r="F1730">
        <f>IF(F1729 &lt; 7, F1729 +1,1)</f>
        <v>7</v>
      </c>
      <c r="G1730">
        <f t="shared" si="26"/>
        <v>123.5</v>
      </c>
    </row>
    <row r="1731" spans="1:7">
      <c r="A1731" s="1">
        <v>50370</v>
      </c>
      <c r="B1731" t="s">
        <v>9</v>
      </c>
      <c r="C1731">
        <v>24.4</v>
      </c>
      <c r="D1731">
        <v>22</v>
      </c>
      <c r="E1731" s="2">
        <f>C1731*D1731 / 100</f>
        <v>5.3679999999999994</v>
      </c>
      <c r="F1731">
        <f>IF(F1730 &lt; 7, F1730 +1,1)</f>
        <v>1</v>
      </c>
      <c r="G1731" t="str">
        <f t="shared" si="26"/>
        <v/>
      </c>
    </row>
    <row r="1732" spans="1:7">
      <c r="A1732" s="1">
        <v>50371</v>
      </c>
      <c r="B1732" t="s">
        <v>6</v>
      </c>
      <c r="C1732">
        <v>10.5</v>
      </c>
      <c r="D1732">
        <v>0.1</v>
      </c>
      <c r="E1732" s="2">
        <f>C1732*D1732 / 100</f>
        <v>1.0500000000000001E-2</v>
      </c>
      <c r="F1732">
        <f>IF(F1731 &lt; 7, F1731 +1,1)</f>
        <v>2</v>
      </c>
      <c r="G1732" t="str">
        <f t="shared" si="26"/>
        <v/>
      </c>
    </row>
    <row r="1733" spans="1:7">
      <c r="A1733" s="1">
        <v>50372</v>
      </c>
      <c r="B1733" t="s">
        <v>26</v>
      </c>
      <c r="C1733">
        <v>23.5</v>
      </c>
      <c r="D1733">
        <v>0</v>
      </c>
      <c r="E1733" s="2">
        <f>C1733*D1733 / 100</f>
        <v>0</v>
      </c>
      <c r="F1733">
        <f>IF(F1732 &lt; 7, F1732 +1,1)</f>
        <v>3</v>
      </c>
      <c r="G1733" t="str">
        <f t="shared" si="26"/>
        <v/>
      </c>
    </row>
    <row r="1734" spans="1:7">
      <c r="A1734" s="1">
        <v>50373</v>
      </c>
      <c r="B1734" t="s">
        <v>14</v>
      </c>
      <c r="C1734">
        <v>19.2</v>
      </c>
      <c r="D1734">
        <v>0</v>
      </c>
      <c r="E1734" s="2">
        <f>C1734*D1734 / 100</f>
        <v>0</v>
      </c>
      <c r="F1734">
        <f>IF(F1733 &lt; 7, F1733 +1,1)</f>
        <v>4</v>
      </c>
      <c r="G1734" t="str">
        <f t="shared" si="26"/>
        <v/>
      </c>
    </row>
    <row r="1735" spans="1:7">
      <c r="A1735" s="1">
        <v>50374</v>
      </c>
      <c r="B1735" t="s">
        <v>30</v>
      </c>
      <c r="C1735">
        <v>11</v>
      </c>
      <c r="D1735">
        <v>0</v>
      </c>
      <c r="E1735" s="2">
        <f>C1735*D1735 / 100</f>
        <v>0</v>
      </c>
      <c r="F1735">
        <f>IF(F1734 &lt; 7, F1734 +1,1)</f>
        <v>5</v>
      </c>
      <c r="G1735" t="str">
        <f t="shared" si="26"/>
        <v/>
      </c>
    </row>
    <row r="1736" spans="1:7">
      <c r="A1736" s="1">
        <v>50375</v>
      </c>
      <c r="B1736" t="s">
        <v>9</v>
      </c>
      <c r="C1736">
        <v>10.4</v>
      </c>
      <c r="D1736">
        <v>0</v>
      </c>
      <c r="E1736" s="2">
        <f>C1736*D1736 / 100</f>
        <v>0</v>
      </c>
      <c r="F1736">
        <f>IF(F1735 &lt; 7, F1735 +1,1)</f>
        <v>6</v>
      </c>
      <c r="G1736" t="str">
        <f t="shared" si="26"/>
        <v/>
      </c>
    </row>
    <row r="1737" spans="1:7">
      <c r="A1737" s="1">
        <v>50376</v>
      </c>
      <c r="B1737" t="s">
        <v>16</v>
      </c>
      <c r="C1737">
        <v>11.9</v>
      </c>
      <c r="D1737">
        <v>9</v>
      </c>
      <c r="E1737" s="2">
        <f>C1737*D1737 / 100</f>
        <v>1.0710000000000002</v>
      </c>
      <c r="F1737">
        <f>IF(F1736 &lt; 7, F1736 +1,1)</f>
        <v>7</v>
      </c>
      <c r="G1737">
        <f t="shared" ref="G1737:G1800" si="27">IF(F1737=7, SUM(C1731:C1737), "")</f>
        <v>110.9</v>
      </c>
    </row>
    <row r="1738" spans="1:7">
      <c r="A1738" s="1">
        <v>50377</v>
      </c>
      <c r="B1738" t="s">
        <v>11</v>
      </c>
      <c r="C1738">
        <v>23.1</v>
      </c>
      <c r="D1738">
        <v>2</v>
      </c>
      <c r="E1738" s="2">
        <f>C1738*D1738 / 100</f>
        <v>0.46200000000000002</v>
      </c>
      <c r="F1738">
        <f>IF(F1737 &lt; 7, F1737 +1,1)</f>
        <v>1</v>
      </c>
      <c r="G1738" t="str">
        <f t="shared" si="27"/>
        <v/>
      </c>
    </row>
    <row r="1739" spans="1:7">
      <c r="A1739" s="1">
        <v>50378</v>
      </c>
      <c r="B1739" t="s">
        <v>36</v>
      </c>
      <c r="C1739">
        <v>18.600000000000001</v>
      </c>
      <c r="D1739">
        <v>17.2</v>
      </c>
      <c r="E1739" s="2">
        <f>C1739*D1739 / 100</f>
        <v>3.1992000000000003</v>
      </c>
      <c r="F1739">
        <f>IF(F1738 &lt; 7, F1738 +1,1)</f>
        <v>2</v>
      </c>
      <c r="G1739" t="str">
        <f t="shared" si="27"/>
        <v/>
      </c>
    </row>
    <row r="1740" spans="1:7">
      <c r="A1740" s="1">
        <v>50379</v>
      </c>
      <c r="B1740" t="s">
        <v>30</v>
      </c>
      <c r="C1740">
        <v>21.8</v>
      </c>
      <c r="D1740">
        <v>12.3</v>
      </c>
      <c r="E1740" s="2">
        <f>C1740*D1740 / 100</f>
        <v>2.6814000000000004</v>
      </c>
      <c r="F1740">
        <f>IF(F1739 &lt; 7, F1739 +1,1)</f>
        <v>3</v>
      </c>
      <c r="G1740" t="str">
        <f t="shared" si="27"/>
        <v/>
      </c>
    </row>
    <row r="1741" spans="1:7">
      <c r="A1741" s="1">
        <v>50380</v>
      </c>
      <c r="B1741" t="s">
        <v>11</v>
      </c>
      <c r="C1741">
        <v>27.7</v>
      </c>
      <c r="D1741">
        <v>7.4</v>
      </c>
      <c r="E1741" s="2">
        <f>C1741*D1741 / 100</f>
        <v>2.0498000000000003</v>
      </c>
      <c r="F1741">
        <f>IF(F1740 &lt; 7, F1740 +1,1)</f>
        <v>4</v>
      </c>
      <c r="G1741" t="str">
        <f t="shared" si="27"/>
        <v/>
      </c>
    </row>
    <row r="1742" spans="1:7">
      <c r="A1742" s="1">
        <v>50381</v>
      </c>
      <c r="B1742" t="s">
        <v>36</v>
      </c>
      <c r="C1742">
        <v>23.2</v>
      </c>
      <c r="D1742">
        <v>24</v>
      </c>
      <c r="E1742" s="2">
        <f>C1742*D1742 / 100</f>
        <v>5.5679999999999996</v>
      </c>
      <c r="F1742">
        <f>IF(F1741 &lt; 7, F1741 +1,1)</f>
        <v>5</v>
      </c>
      <c r="G1742" t="str">
        <f t="shared" si="27"/>
        <v/>
      </c>
    </row>
    <row r="1743" spans="1:7">
      <c r="A1743" s="1">
        <v>50382</v>
      </c>
      <c r="B1743" t="s">
        <v>36</v>
      </c>
      <c r="C1743">
        <v>25.8</v>
      </c>
      <c r="D1743">
        <v>16.100000000000001</v>
      </c>
      <c r="E1743" s="2">
        <f>C1743*D1743 / 100</f>
        <v>4.1538000000000004</v>
      </c>
      <c r="F1743">
        <f>IF(F1742 &lt; 7, F1742 +1,1)</f>
        <v>6</v>
      </c>
      <c r="G1743" t="str">
        <f t="shared" si="27"/>
        <v/>
      </c>
    </row>
    <row r="1744" spans="1:7">
      <c r="A1744" s="1">
        <v>50383</v>
      </c>
      <c r="B1744" t="s">
        <v>10</v>
      </c>
      <c r="C1744">
        <v>19.8</v>
      </c>
      <c r="D1744">
        <v>6.6</v>
      </c>
      <c r="E1744" s="2">
        <f>C1744*D1744 / 100</f>
        <v>1.3068</v>
      </c>
      <c r="F1744">
        <f>IF(F1743 &lt; 7, F1743 +1,1)</f>
        <v>7</v>
      </c>
      <c r="G1744">
        <f t="shared" si="27"/>
        <v>160.00000000000003</v>
      </c>
    </row>
    <row r="1745" spans="1:7">
      <c r="A1745" s="1">
        <v>50384</v>
      </c>
      <c r="B1745" t="s">
        <v>29</v>
      </c>
      <c r="C1745">
        <v>11.2</v>
      </c>
      <c r="D1745">
        <v>7.5</v>
      </c>
      <c r="E1745" s="2">
        <f>C1745*D1745 / 100</f>
        <v>0.84</v>
      </c>
      <c r="F1745">
        <f>IF(F1744 &lt; 7, F1744 +1,1)</f>
        <v>1</v>
      </c>
      <c r="G1745" t="str">
        <f t="shared" si="27"/>
        <v/>
      </c>
    </row>
    <row r="1746" spans="1:7">
      <c r="A1746" s="1">
        <v>50385</v>
      </c>
      <c r="B1746" t="s">
        <v>21</v>
      </c>
      <c r="C1746">
        <v>15.7</v>
      </c>
      <c r="D1746">
        <v>0</v>
      </c>
      <c r="E1746" s="2">
        <f>C1746*D1746 / 100</f>
        <v>0</v>
      </c>
      <c r="F1746">
        <f>IF(F1745 &lt; 7, F1745 +1,1)</f>
        <v>2</v>
      </c>
      <c r="G1746" t="str">
        <f t="shared" si="27"/>
        <v/>
      </c>
    </row>
    <row r="1747" spans="1:7">
      <c r="A1747" s="1">
        <v>50386</v>
      </c>
      <c r="B1747" t="s">
        <v>17</v>
      </c>
      <c r="C1747">
        <v>23.6</v>
      </c>
      <c r="D1747">
        <v>0.6</v>
      </c>
      <c r="E1747" s="2">
        <f>C1747*D1747 / 100</f>
        <v>0.1416</v>
      </c>
      <c r="F1747">
        <f>IF(F1746 &lt; 7, F1746 +1,1)</f>
        <v>3</v>
      </c>
      <c r="G1747" t="str">
        <f t="shared" si="27"/>
        <v/>
      </c>
    </row>
    <row r="1748" spans="1:7">
      <c r="A1748" s="1">
        <v>50387</v>
      </c>
      <c r="B1748" t="s">
        <v>22</v>
      </c>
      <c r="C1748">
        <v>27.5</v>
      </c>
      <c r="D1748">
        <v>5.3</v>
      </c>
      <c r="E1748" s="2">
        <f>C1748*D1748 / 100</f>
        <v>1.4575</v>
      </c>
      <c r="F1748">
        <f>IF(F1747 &lt; 7, F1747 +1,1)</f>
        <v>4</v>
      </c>
      <c r="G1748" t="str">
        <f t="shared" si="27"/>
        <v/>
      </c>
    </row>
    <row r="1749" spans="1:7">
      <c r="A1749" s="1">
        <v>50388</v>
      </c>
      <c r="B1749" t="s">
        <v>10</v>
      </c>
      <c r="C1749">
        <v>17.3</v>
      </c>
      <c r="D1749">
        <v>0</v>
      </c>
      <c r="E1749" s="2">
        <f>C1749*D1749 / 100</f>
        <v>0</v>
      </c>
      <c r="F1749">
        <f>IF(F1748 &lt; 7, F1748 +1,1)</f>
        <v>5</v>
      </c>
      <c r="G1749" t="str">
        <f t="shared" si="27"/>
        <v/>
      </c>
    </row>
    <row r="1750" spans="1:7">
      <c r="A1750" s="1">
        <v>50389</v>
      </c>
      <c r="B1750" t="s">
        <v>36</v>
      </c>
      <c r="C1750">
        <v>11.2</v>
      </c>
      <c r="D1750">
        <v>32.700000000000003</v>
      </c>
      <c r="E1750" s="2">
        <f>C1750*D1750 / 100</f>
        <v>3.6623999999999999</v>
      </c>
      <c r="F1750">
        <f>IF(F1749 &lt; 7, F1749 +1,1)</f>
        <v>6</v>
      </c>
      <c r="G1750" t="str">
        <f t="shared" si="27"/>
        <v/>
      </c>
    </row>
    <row r="1751" spans="1:7">
      <c r="A1751" s="1">
        <v>50390</v>
      </c>
      <c r="B1751" t="s">
        <v>9</v>
      </c>
      <c r="C1751">
        <v>17.8</v>
      </c>
      <c r="D1751">
        <v>0</v>
      </c>
      <c r="E1751" s="2">
        <f>C1751*D1751 / 100</f>
        <v>0</v>
      </c>
      <c r="F1751">
        <f>IF(F1750 &lt; 7, F1750 +1,1)</f>
        <v>7</v>
      </c>
      <c r="G1751">
        <f t="shared" si="27"/>
        <v>124.3</v>
      </c>
    </row>
    <row r="1752" spans="1:7">
      <c r="A1752" s="1">
        <v>50391</v>
      </c>
      <c r="B1752" t="s">
        <v>21</v>
      </c>
      <c r="C1752">
        <v>16.899999999999999</v>
      </c>
      <c r="D1752">
        <v>41.8</v>
      </c>
      <c r="E1752" s="2">
        <f>C1752*D1752 / 100</f>
        <v>7.0641999999999987</v>
      </c>
      <c r="F1752">
        <f>IF(F1751 &lt; 7, F1751 +1,1)</f>
        <v>1</v>
      </c>
      <c r="G1752" t="str">
        <f t="shared" si="27"/>
        <v/>
      </c>
    </row>
    <row r="1753" spans="1:7">
      <c r="A1753" s="1">
        <v>50392</v>
      </c>
      <c r="B1753" t="s">
        <v>9</v>
      </c>
      <c r="C1753">
        <v>18.3</v>
      </c>
      <c r="D1753">
        <v>0</v>
      </c>
      <c r="E1753" s="2">
        <f>C1753*D1753 / 100</f>
        <v>0</v>
      </c>
      <c r="F1753">
        <f>IF(F1752 &lt; 7, F1752 +1,1)</f>
        <v>2</v>
      </c>
      <c r="G1753" t="str">
        <f t="shared" si="27"/>
        <v/>
      </c>
    </row>
    <row r="1754" spans="1:7">
      <c r="A1754" s="1">
        <v>50393</v>
      </c>
      <c r="B1754" t="s">
        <v>23</v>
      </c>
      <c r="C1754">
        <v>12.2</v>
      </c>
      <c r="D1754">
        <v>0</v>
      </c>
      <c r="E1754" s="2">
        <f>C1754*D1754 / 100</f>
        <v>0</v>
      </c>
      <c r="F1754">
        <f>IF(F1753 &lt; 7, F1753 +1,1)</f>
        <v>3</v>
      </c>
      <c r="G1754" t="str">
        <f t="shared" si="27"/>
        <v/>
      </c>
    </row>
    <row r="1755" spans="1:7">
      <c r="A1755" s="1">
        <v>50394</v>
      </c>
      <c r="B1755" t="s">
        <v>19</v>
      </c>
      <c r="C1755">
        <v>21.2</v>
      </c>
      <c r="D1755">
        <v>0</v>
      </c>
      <c r="E1755" s="2">
        <f>C1755*D1755 / 100</f>
        <v>0</v>
      </c>
      <c r="F1755">
        <f>IF(F1754 &lt; 7, F1754 +1,1)</f>
        <v>4</v>
      </c>
      <c r="G1755" t="str">
        <f t="shared" si="27"/>
        <v/>
      </c>
    </row>
    <row r="1756" spans="1:7">
      <c r="A1756" s="1">
        <v>50395</v>
      </c>
      <c r="B1756" t="s">
        <v>21</v>
      </c>
      <c r="C1756">
        <v>19.600000000000001</v>
      </c>
      <c r="D1756">
        <v>48.2</v>
      </c>
      <c r="E1756" s="2">
        <f>C1756*D1756 / 100</f>
        <v>9.4472000000000023</v>
      </c>
      <c r="F1756">
        <f>IF(F1755 &lt; 7, F1755 +1,1)</f>
        <v>5</v>
      </c>
      <c r="G1756" t="str">
        <f t="shared" si="27"/>
        <v/>
      </c>
    </row>
    <row r="1757" spans="1:7">
      <c r="A1757" s="1">
        <v>50396</v>
      </c>
      <c r="B1757" t="s">
        <v>26</v>
      </c>
      <c r="C1757">
        <v>15.6</v>
      </c>
      <c r="D1757">
        <v>0.6</v>
      </c>
      <c r="E1757" s="2">
        <f>C1757*D1757 / 100</f>
        <v>9.3599999999999989E-2</v>
      </c>
      <c r="F1757">
        <f>IF(F1756 &lt; 7, F1756 +1,1)</f>
        <v>6</v>
      </c>
      <c r="G1757" t="str">
        <f t="shared" si="27"/>
        <v/>
      </c>
    </row>
    <row r="1758" spans="1:7">
      <c r="A1758" s="1">
        <v>50397</v>
      </c>
      <c r="B1758" t="s">
        <v>12</v>
      </c>
      <c r="C1758">
        <v>12.5</v>
      </c>
      <c r="D1758">
        <v>5.9</v>
      </c>
      <c r="E1758" s="2">
        <f>C1758*D1758 / 100</f>
        <v>0.73750000000000004</v>
      </c>
      <c r="F1758">
        <f>IF(F1757 &lt; 7, F1757 +1,1)</f>
        <v>7</v>
      </c>
      <c r="G1758">
        <f t="shared" si="27"/>
        <v>116.30000000000001</v>
      </c>
    </row>
    <row r="1759" spans="1:7">
      <c r="A1759" s="1">
        <v>50398</v>
      </c>
      <c r="B1759" t="s">
        <v>34</v>
      </c>
      <c r="C1759">
        <v>29.3</v>
      </c>
      <c r="D1759">
        <v>0</v>
      </c>
      <c r="E1759" s="2">
        <f>C1759*D1759 / 100</f>
        <v>0</v>
      </c>
      <c r="F1759">
        <f>IF(F1758 &lt; 7, F1758 +1,1)</f>
        <v>1</v>
      </c>
      <c r="G1759" t="str">
        <f t="shared" si="27"/>
        <v/>
      </c>
    </row>
    <row r="1760" spans="1:7">
      <c r="A1760" s="1">
        <v>50399</v>
      </c>
      <c r="B1760" t="s">
        <v>29</v>
      </c>
      <c r="C1760">
        <v>24.6</v>
      </c>
      <c r="D1760">
        <v>0</v>
      </c>
      <c r="E1760" s="2">
        <f>C1760*D1760 / 100</f>
        <v>0</v>
      </c>
      <c r="F1760">
        <f>IF(F1759 &lt; 7, F1759 +1,1)</f>
        <v>2</v>
      </c>
      <c r="G1760" t="str">
        <f t="shared" si="27"/>
        <v/>
      </c>
    </row>
    <row r="1761" spans="1:7">
      <c r="A1761" s="1">
        <v>50400</v>
      </c>
      <c r="B1761" t="s">
        <v>26</v>
      </c>
      <c r="C1761">
        <v>21.2</v>
      </c>
      <c r="D1761">
        <v>3.1</v>
      </c>
      <c r="E1761" s="2">
        <f>C1761*D1761 / 100</f>
        <v>0.65720000000000001</v>
      </c>
      <c r="F1761">
        <f>IF(F1760 &lt; 7, F1760 +1,1)</f>
        <v>3</v>
      </c>
      <c r="G1761" t="str">
        <f t="shared" si="27"/>
        <v/>
      </c>
    </row>
    <row r="1762" spans="1:7">
      <c r="A1762" s="1">
        <v>50401</v>
      </c>
      <c r="B1762" t="s">
        <v>21</v>
      </c>
      <c r="C1762">
        <v>12.7</v>
      </c>
      <c r="D1762">
        <v>38.1</v>
      </c>
      <c r="E1762" s="2">
        <f>C1762*D1762 / 100</f>
        <v>4.8387000000000002</v>
      </c>
      <c r="F1762">
        <f>IF(F1761 &lt; 7, F1761 +1,1)</f>
        <v>4</v>
      </c>
      <c r="G1762" t="str">
        <f t="shared" si="27"/>
        <v/>
      </c>
    </row>
    <row r="1763" spans="1:7">
      <c r="A1763" s="1">
        <v>50402</v>
      </c>
      <c r="B1763" t="s">
        <v>6</v>
      </c>
      <c r="C1763">
        <v>20.6</v>
      </c>
      <c r="D1763">
        <v>5.2</v>
      </c>
      <c r="E1763" s="2">
        <f>C1763*D1763 / 100</f>
        <v>1.0712000000000002</v>
      </c>
      <c r="F1763">
        <f>IF(F1762 &lt; 7, F1762 +1,1)</f>
        <v>5</v>
      </c>
      <c r="G1763" t="str">
        <f t="shared" si="27"/>
        <v/>
      </c>
    </row>
    <row r="1764" spans="1:7">
      <c r="A1764" s="1">
        <v>50403</v>
      </c>
      <c r="B1764" t="s">
        <v>34</v>
      </c>
      <c r="C1764">
        <v>28.3</v>
      </c>
      <c r="D1764">
        <v>0</v>
      </c>
      <c r="E1764" s="2">
        <f>C1764*D1764 / 100</f>
        <v>0</v>
      </c>
      <c r="F1764">
        <f>IF(F1763 &lt; 7, F1763 +1,1)</f>
        <v>6</v>
      </c>
      <c r="G1764" t="str">
        <f t="shared" si="27"/>
        <v/>
      </c>
    </row>
    <row r="1765" spans="1:7">
      <c r="A1765" s="1">
        <v>50404</v>
      </c>
      <c r="B1765" t="s">
        <v>36</v>
      </c>
      <c r="C1765">
        <v>15.1</v>
      </c>
      <c r="D1765">
        <v>22.6</v>
      </c>
      <c r="E1765" s="2">
        <f>C1765*D1765 / 100</f>
        <v>3.4125999999999999</v>
      </c>
      <c r="F1765">
        <f>IF(F1764 &lt; 7, F1764 +1,1)</f>
        <v>7</v>
      </c>
      <c r="G1765">
        <f t="shared" si="27"/>
        <v>151.80000000000001</v>
      </c>
    </row>
    <row r="1766" spans="1:7">
      <c r="A1766" s="1">
        <v>50405</v>
      </c>
      <c r="B1766" t="s">
        <v>33</v>
      </c>
      <c r="C1766">
        <v>24.8</v>
      </c>
      <c r="D1766">
        <v>10.5</v>
      </c>
      <c r="E1766" s="2">
        <f>C1766*D1766 / 100</f>
        <v>2.6040000000000005</v>
      </c>
      <c r="F1766">
        <f>IF(F1765 &lt; 7, F1765 +1,1)</f>
        <v>1</v>
      </c>
      <c r="G1766" t="str">
        <f t="shared" si="27"/>
        <v/>
      </c>
    </row>
    <row r="1767" spans="1:7">
      <c r="A1767" s="1">
        <v>50406</v>
      </c>
      <c r="B1767" t="s">
        <v>28</v>
      </c>
      <c r="C1767">
        <v>16.899999999999999</v>
      </c>
      <c r="D1767">
        <v>1.2</v>
      </c>
      <c r="E1767" s="2">
        <f>C1767*D1767 / 100</f>
        <v>0.20279999999999998</v>
      </c>
      <c r="F1767">
        <f>IF(F1766 &lt; 7, F1766 +1,1)</f>
        <v>2</v>
      </c>
      <c r="G1767" t="str">
        <f t="shared" si="27"/>
        <v/>
      </c>
    </row>
    <row r="1768" spans="1:7">
      <c r="A1768" s="1">
        <v>50407</v>
      </c>
      <c r="B1768" t="s">
        <v>28</v>
      </c>
      <c r="C1768">
        <v>23.4</v>
      </c>
      <c r="D1768">
        <v>0</v>
      </c>
      <c r="E1768" s="2">
        <f>C1768*D1768 / 100</f>
        <v>0</v>
      </c>
      <c r="F1768">
        <f>IF(F1767 &lt; 7, F1767 +1,1)</f>
        <v>3</v>
      </c>
      <c r="G1768" t="str">
        <f t="shared" si="27"/>
        <v/>
      </c>
    </row>
    <row r="1769" spans="1:7">
      <c r="A1769" s="1">
        <v>50408</v>
      </c>
      <c r="B1769" t="s">
        <v>16</v>
      </c>
      <c r="C1769">
        <v>10.5</v>
      </c>
      <c r="D1769">
        <v>22.2</v>
      </c>
      <c r="E1769" s="2">
        <f>C1769*D1769 / 100</f>
        <v>2.331</v>
      </c>
      <c r="F1769">
        <f>IF(F1768 &lt; 7, F1768 +1,1)</f>
        <v>4</v>
      </c>
      <c r="G1769" t="str">
        <f t="shared" si="27"/>
        <v/>
      </c>
    </row>
    <row r="1770" spans="1:7">
      <c r="A1770" s="1">
        <v>50409</v>
      </c>
      <c r="B1770" t="s">
        <v>21</v>
      </c>
      <c r="C1770">
        <v>16.2</v>
      </c>
      <c r="D1770">
        <v>0</v>
      </c>
      <c r="E1770" s="2">
        <f>C1770*D1770 / 100</f>
        <v>0</v>
      </c>
      <c r="F1770">
        <f>IF(F1769 &lt; 7, F1769 +1,1)</f>
        <v>5</v>
      </c>
      <c r="G1770" t="str">
        <f t="shared" si="27"/>
        <v/>
      </c>
    </row>
    <row r="1771" spans="1:7">
      <c r="A1771" s="1">
        <v>50410</v>
      </c>
      <c r="B1771" t="s">
        <v>31</v>
      </c>
      <c r="C1771">
        <v>29.7</v>
      </c>
      <c r="D1771">
        <v>0.3</v>
      </c>
      <c r="E1771" s="2">
        <f>C1771*D1771 / 100</f>
        <v>8.9099999999999999E-2</v>
      </c>
      <c r="F1771">
        <f>IF(F1770 &lt; 7, F1770 +1,1)</f>
        <v>6</v>
      </c>
      <c r="G1771" t="str">
        <f t="shared" si="27"/>
        <v/>
      </c>
    </row>
    <row r="1772" spans="1:7">
      <c r="A1772" s="1">
        <v>50411</v>
      </c>
      <c r="B1772" t="s">
        <v>21</v>
      </c>
      <c r="C1772">
        <v>12.8</v>
      </c>
      <c r="D1772">
        <v>0</v>
      </c>
      <c r="E1772" s="2">
        <f>C1772*D1772 / 100</f>
        <v>0</v>
      </c>
      <c r="F1772">
        <f>IF(F1771 &lt; 7, F1771 +1,1)</f>
        <v>7</v>
      </c>
      <c r="G1772">
        <f t="shared" si="27"/>
        <v>134.30000000000001</v>
      </c>
    </row>
    <row r="1773" spans="1:7">
      <c r="A1773" s="1">
        <v>50412</v>
      </c>
      <c r="B1773" t="s">
        <v>22</v>
      </c>
      <c r="C1773">
        <v>19.100000000000001</v>
      </c>
      <c r="D1773">
        <v>1.7</v>
      </c>
      <c r="E1773" s="2">
        <f>C1773*D1773 / 100</f>
        <v>0.32469999999999999</v>
      </c>
      <c r="F1773">
        <f>IF(F1772 &lt; 7, F1772 +1,1)</f>
        <v>1</v>
      </c>
      <c r="G1773" t="str">
        <f t="shared" si="27"/>
        <v/>
      </c>
    </row>
    <row r="1774" spans="1:7">
      <c r="A1774" s="1">
        <v>50413</v>
      </c>
      <c r="B1774" t="s">
        <v>9</v>
      </c>
      <c r="C1774">
        <v>27.7</v>
      </c>
      <c r="D1774">
        <v>0</v>
      </c>
      <c r="E1774" s="2">
        <f>C1774*D1774 / 100</f>
        <v>0</v>
      </c>
      <c r="F1774">
        <f>IF(F1773 &lt; 7, F1773 +1,1)</f>
        <v>2</v>
      </c>
      <c r="G1774" t="str">
        <f t="shared" si="27"/>
        <v/>
      </c>
    </row>
    <row r="1775" spans="1:7">
      <c r="A1775" s="1">
        <v>50414</v>
      </c>
      <c r="B1775" t="s">
        <v>11</v>
      </c>
      <c r="C1775">
        <v>22</v>
      </c>
      <c r="D1775">
        <v>5.9</v>
      </c>
      <c r="E1775" s="2">
        <f>C1775*D1775 / 100</f>
        <v>1.298</v>
      </c>
      <c r="F1775">
        <f>IF(F1774 &lt; 7, F1774 +1,1)</f>
        <v>3</v>
      </c>
      <c r="G1775" t="str">
        <f t="shared" si="27"/>
        <v/>
      </c>
    </row>
    <row r="1776" spans="1:7">
      <c r="A1776" s="1">
        <v>50415</v>
      </c>
      <c r="B1776" t="s">
        <v>30</v>
      </c>
      <c r="C1776">
        <v>19.600000000000001</v>
      </c>
      <c r="D1776">
        <v>2.7</v>
      </c>
      <c r="E1776" s="2">
        <f>C1776*D1776 / 100</f>
        <v>0.52920000000000011</v>
      </c>
      <c r="F1776">
        <f>IF(F1775 &lt; 7, F1775 +1,1)</f>
        <v>4</v>
      </c>
      <c r="G1776" t="str">
        <f t="shared" si="27"/>
        <v/>
      </c>
    </row>
    <row r="1777" spans="1:7">
      <c r="A1777" s="1">
        <v>50416</v>
      </c>
      <c r="B1777" t="s">
        <v>22</v>
      </c>
      <c r="C1777">
        <v>16</v>
      </c>
      <c r="D1777">
        <v>0.3</v>
      </c>
      <c r="E1777" s="2">
        <f>C1777*D1777 / 100</f>
        <v>4.8000000000000001E-2</v>
      </c>
      <c r="F1777">
        <f>IF(F1776 &lt; 7, F1776 +1,1)</f>
        <v>5</v>
      </c>
      <c r="G1777" t="str">
        <f t="shared" si="27"/>
        <v/>
      </c>
    </row>
    <row r="1778" spans="1:7">
      <c r="A1778" s="1">
        <v>50417</v>
      </c>
      <c r="B1778" t="s">
        <v>10</v>
      </c>
      <c r="C1778">
        <v>14</v>
      </c>
      <c r="D1778">
        <v>1.3</v>
      </c>
      <c r="E1778" s="2">
        <f>C1778*D1778 / 100</f>
        <v>0.182</v>
      </c>
      <c r="F1778">
        <f>IF(F1777 &lt; 7, F1777 +1,1)</f>
        <v>6</v>
      </c>
      <c r="G1778" t="str">
        <f t="shared" si="27"/>
        <v/>
      </c>
    </row>
    <row r="1779" spans="1:7">
      <c r="A1779" s="1">
        <v>50418</v>
      </c>
      <c r="B1779" t="s">
        <v>33</v>
      </c>
      <c r="C1779">
        <v>29.5</v>
      </c>
      <c r="D1779">
        <v>3.3</v>
      </c>
      <c r="E1779" s="2">
        <f>C1779*D1779 / 100</f>
        <v>0.97349999999999992</v>
      </c>
      <c r="F1779">
        <f>IF(F1778 &lt; 7, F1778 +1,1)</f>
        <v>7</v>
      </c>
      <c r="G1779">
        <f t="shared" si="27"/>
        <v>147.9</v>
      </c>
    </row>
    <row r="1780" spans="1:7">
      <c r="A1780" s="1">
        <v>50419</v>
      </c>
      <c r="B1780" t="s">
        <v>16</v>
      </c>
      <c r="C1780">
        <v>12.2</v>
      </c>
      <c r="D1780">
        <v>0</v>
      </c>
      <c r="E1780" s="2">
        <f>C1780*D1780 / 100</f>
        <v>0</v>
      </c>
      <c r="F1780">
        <f>IF(F1779 &lt; 7, F1779 +1,1)</f>
        <v>1</v>
      </c>
      <c r="G1780" t="str">
        <f t="shared" si="27"/>
        <v/>
      </c>
    </row>
    <row r="1781" spans="1:7">
      <c r="A1781" s="1">
        <v>50420</v>
      </c>
      <c r="B1781" t="s">
        <v>9</v>
      </c>
      <c r="C1781">
        <v>15</v>
      </c>
      <c r="D1781">
        <v>7.4</v>
      </c>
      <c r="E1781" s="2">
        <f>C1781*D1781 / 100</f>
        <v>1.1100000000000001</v>
      </c>
      <c r="F1781">
        <f>IF(F1780 &lt; 7, F1780 +1,1)</f>
        <v>2</v>
      </c>
      <c r="G1781" t="str">
        <f t="shared" si="27"/>
        <v/>
      </c>
    </row>
    <row r="1782" spans="1:7">
      <c r="A1782" s="1">
        <v>50421</v>
      </c>
      <c r="B1782" t="s">
        <v>18</v>
      </c>
      <c r="C1782">
        <v>10.4</v>
      </c>
      <c r="D1782">
        <v>2</v>
      </c>
      <c r="E1782" s="2">
        <f>C1782*D1782 / 100</f>
        <v>0.20800000000000002</v>
      </c>
      <c r="F1782">
        <f>IF(F1781 &lt; 7, F1781 +1,1)</f>
        <v>3</v>
      </c>
      <c r="G1782" t="str">
        <f t="shared" si="27"/>
        <v/>
      </c>
    </row>
    <row r="1783" spans="1:7">
      <c r="A1783" s="1">
        <v>50422</v>
      </c>
      <c r="B1783" t="s">
        <v>36</v>
      </c>
      <c r="C1783">
        <v>18.600000000000001</v>
      </c>
      <c r="D1783">
        <v>4.5999999999999996</v>
      </c>
      <c r="E1783" s="2">
        <f>C1783*D1783 / 100</f>
        <v>0.85560000000000003</v>
      </c>
      <c r="F1783">
        <f>IF(F1782 &lt; 7, F1782 +1,1)</f>
        <v>4</v>
      </c>
      <c r="G1783" t="str">
        <f t="shared" si="27"/>
        <v/>
      </c>
    </row>
    <row r="1784" spans="1:7">
      <c r="A1784" s="1">
        <v>50423</v>
      </c>
      <c r="B1784" t="s">
        <v>29</v>
      </c>
      <c r="C1784">
        <v>23.7</v>
      </c>
      <c r="D1784">
        <v>7.2</v>
      </c>
      <c r="E1784" s="2">
        <f>C1784*D1784 / 100</f>
        <v>1.7063999999999999</v>
      </c>
      <c r="F1784">
        <f>IF(F1783 &lt; 7, F1783 +1,1)</f>
        <v>5</v>
      </c>
      <c r="G1784" t="str">
        <f t="shared" si="27"/>
        <v/>
      </c>
    </row>
    <row r="1785" spans="1:7">
      <c r="A1785" s="1">
        <v>50424</v>
      </c>
      <c r="B1785" t="s">
        <v>10</v>
      </c>
      <c r="C1785">
        <v>27.2</v>
      </c>
      <c r="D1785">
        <v>0</v>
      </c>
      <c r="E1785" s="2">
        <f>C1785*D1785 / 100</f>
        <v>0</v>
      </c>
      <c r="F1785">
        <f>IF(F1784 &lt; 7, F1784 +1,1)</f>
        <v>6</v>
      </c>
      <c r="G1785" t="str">
        <f t="shared" si="27"/>
        <v/>
      </c>
    </row>
    <row r="1786" spans="1:7">
      <c r="A1786" s="1">
        <v>50425</v>
      </c>
      <c r="B1786" t="s">
        <v>33</v>
      </c>
      <c r="C1786">
        <v>11.3</v>
      </c>
      <c r="D1786">
        <v>18.8</v>
      </c>
      <c r="E1786" s="2">
        <f>C1786*D1786 / 100</f>
        <v>2.1244000000000001</v>
      </c>
      <c r="F1786">
        <f>IF(F1785 &lt; 7, F1785 +1,1)</f>
        <v>7</v>
      </c>
      <c r="G1786">
        <f t="shared" si="27"/>
        <v>118.4</v>
      </c>
    </row>
    <row r="1787" spans="1:7">
      <c r="A1787" s="1">
        <v>50426</v>
      </c>
      <c r="B1787" t="s">
        <v>16</v>
      </c>
      <c r="C1787">
        <v>22.1</v>
      </c>
      <c r="D1787">
        <v>0</v>
      </c>
      <c r="E1787" s="2">
        <f>C1787*D1787 / 100</f>
        <v>0</v>
      </c>
      <c r="F1787">
        <f>IF(F1786 &lt; 7, F1786 +1,1)</f>
        <v>1</v>
      </c>
      <c r="G1787" t="str">
        <f t="shared" si="27"/>
        <v/>
      </c>
    </row>
    <row r="1788" spans="1:7">
      <c r="A1788" s="1">
        <v>50427</v>
      </c>
      <c r="B1788" t="s">
        <v>34</v>
      </c>
      <c r="C1788">
        <v>11</v>
      </c>
      <c r="D1788">
        <v>0</v>
      </c>
      <c r="E1788" s="2">
        <f>C1788*D1788 / 100</f>
        <v>0</v>
      </c>
      <c r="F1788">
        <f>IF(F1787 &lt; 7, F1787 +1,1)</f>
        <v>2</v>
      </c>
      <c r="G1788" t="str">
        <f t="shared" si="27"/>
        <v/>
      </c>
    </row>
    <row r="1789" spans="1:7">
      <c r="A1789" s="1">
        <v>50428</v>
      </c>
      <c r="B1789" t="s">
        <v>36</v>
      </c>
      <c r="C1789">
        <v>14.7</v>
      </c>
      <c r="D1789">
        <v>0</v>
      </c>
      <c r="E1789" s="2">
        <f>C1789*D1789 / 100</f>
        <v>0</v>
      </c>
      <c r="F1789">
        <f>IF(F1788 &lt; 7, F1788 +1,1)</f>
        <v>3</v>
      </c>
      <c r="G1789" t="str">
        <f t="shared" si="27"/>
        <v/>
      </c>
    </row>
    <row r="1790" spans="1:7">
      <c r="A1790" s="1">
        <v>50429</v>
      </c>
      <c r="B1790" t="s">
        <v>36</v>
      </c>
      <c r="C1790">
        <v>10.4</v>
      </c>
      <c r="D1790">
        <v>14.4</v>
      </c>
      <c r="E1790" s="2">
        <f>C1790*D1790 / 100</f>
        <v>1.4976000000000003</v>
      </c>
      <c r="F1790">
        <f>IF(F1789 &lt; 7, F1789 +1,1)</f>
        <v>4</v>
      </c>
      <c r="G1790" t="str">
        <f t="shared" si="27"/>
        <v/>
      </c>
    </row>
    <row r="1791" spans="1:7">
      <c r="A1791" s="1">
        <v>50430</v>
      </c>
      <c r="B1791" t="s">
        <v>13</v>
      </c>
      <c r="C1791">
        <v>29.6</v>
      </c>
      <c r="D1791">
        <v>2.8</v>
      </c>
      <c r="E1791" s="2">
        <f>C1791*D1791 / 100</f>
        <v>0.82879999999999998</v>
      </c>
      <c r="F1791">
        <f>IF(F1790 &lt; 7, F1790 +1,1)</f>
        <v>5</v>
      </c>
      <c r="G1791" t="str">
        <f t="shared" si="27"/>
        <v/>
      </c>
    </row>
    <row r="1792" spans="1:7">
      <c r="A1792" s="1">
        <v>50431</v>
      </c>
      <c r="B1792" t="s">
        <v>29</v>
      </c>
      <c r="C1792">
        <v>11.3</v>
      </c>
      <c r="D1792">
        <v>7.2</v>
      </c>
      <c r="E1792" s="2">
        <f>C1792*D1792 / 100</f>
        <v>0.8136000000000001</v>
      </c>
      <c r="F1792">
        <f>IF(F1791 &lt; 7, F1791 +1,1)</f>
        <v>6</v>
      </c>
      <c r="G1792" t="str">
        <f t="shared" si="27"/>
        <v/>
      </c>
    </row>
    <row r="1793" spans="1:7">
      <c r="A1793" s="1">
        <v>50432</v>
      </c>
      <c r="B1793" t="s">
        <v>18</v>
      </c>
      <c r="C1793">
        <v>22.4</v>
      </c>
      <c r="D1793">
        <v>0</v>
      </c>
      <c r="E1793" s="2">
        <f>C1793*D1793 / 100</f>
        <v>0</v>
      </c>
      <c r="F1793">
        <f>IF(F1792 &lt; 7, F1792 +1,1)</f>
        <v>7</v>
      </c>
      <c r="G1793">
        <f t="shared" si="27"/>
        <v>121.5</v>
      </c>
    </row>
    <row r="1794" spans="1:7">
      <c r="A1794" s="1">
        <v>50433</v>
      </c>
      <c r="B1794" t="s">
        <v>36</v>
      </c>
      <c r="C1794">
        <v>19.600000000000001</v>
      </c>
      <c r="D1794">
        <v>28.7</v>
      </c>
      <c r="E1794" s="2">
        <f>C1794*D1794 / 100</f>
        <v>5.6251999999999995</v>
      </c>
      <c r="F1794">
        <f>IF(F1793 &lt; 7, F1793 +1,1)</f>
        <v>1</v>
      </c>
      <c r="G1794" t="str">
        <f t="shared" si="27"/>
        <v/>
      </c>
    </row>
    <row r="1795" spans="1:7">
      <c r="A1795" s="1">
        <v>50434</v>
      </c>
      <c r="B1795" t="s">
        <v>30</v>
      </c>
      <c r="C1795">
        <v>28.5</v>
      </c>
      <c r="D1795">
        <v>12.9</v>
      </c>
      <c r="E1795" s="2">
        <f>C1795*D1795 / 100</f>
        <v>3.6765000000000003</v>
      </c>
      <c r="F1795">
        <f>IF(F1794 &lt; 7, F1794 +1,1)</f>
        <v>2</v>
      </c>
      <c r="G1795" t="str">
        <f t="shared" si="27"/>
        <v/>
      </c>
    </row>
    <row r="1796" spans="1:7">
      <c r="A1796" s="1">
        <v>50435</v>
      </c>
      <c r="B1796" t="s">
        <v>13</v>
      </c>
      <c r="C1796">
        <v>10.9</v>
      </c>
      <c r="D1796">
        <v>0</v>
      </c>
      <c r="E1796" s="2">
        <f>C1796*D1796 / 100</f>
        <v>0</v>
      </c>
      <c r="F1796">
        <f>IF(F1795 &lt; 7, F1795 +1,1)</f>
        <v>3</v>
      </c>
      <c r="G1796" t="str">
        <f t="shared" si="27"/>
        <v/>
      </c>
    </row>
    <row r="1797" spans="1:7">
      <c r="A1797" s="1">
        <v>50436</v>
      </c>
      <c r="B1797" t="s">
        <v>19</v>
      </c>
      <c r="C1797">
        <v>13.4</v>
      </c>
      <c r="D1797">
        <v>15.7</v>
      </c>
      <c r="E1797" s="2">
        <f>C1797*D1797 / 100</f>
        <v>2.1038000000000001</v>
      </c>
      <c r="F1797">
        <f>IF(F1796 &lt; 7, F1796 +1,1)</f>
        <v>4</v>
      </c>
      <c r="G1797" t="str">
        <f t="shared" si="27"/>
        <v/>
      </c>
    </row>
    <row r="1798" spans="1:7">
      <c r="A1798" s="1">
        <v>50437</v>
      </c>
      <c r="B1798" t="s">
        <v>36</v>
      </c>
      <c r="C1798">
        <v>27.3</v>
      </c>
      <c r="D1798">
        <v>0</v>
      </c>
      <c r="E1798" s="2">
        <f>C1798*D1798 / 100</f>
        <v>0</v>
      </c>
      <c r="F1798">
        <f>IF(F1797 &lt; 7, F1797 +1,1)</f>
        <v>5</v>
      </c>
      <c r="G1798" t="str">
        <f t="shared" si="27"/>
        <v/>
      </c>
    </row>
    <row r="1799" spans="1:7">
      <c r="A1799" s="1">
        <v>50438</v>
      </c>
      <c r="B1799" t="s">
        <v>26</v>
      </c>
      <c r="C1799">
        <v>23.6</v>
      </c>
      <c r="D1799">
        <v>0</v>
      </c>
      <c r="E1799" s="2">
        <f>C1799*D1799 / 100</f>
        <v>0</v>
      </c>
      <c r="F1799">
        <f>IF(F1798 &lt; 7, F1798 +1,1)</f>
        <v>6</v>
      </c>
      <c r="G1799" t="str">
        <f t="shared" si="27"/>
        <v/>
      </c>
    </row>
    <row r="1800" spans="1:7">
      <c r="A1800" s="1">
        <v>50439</v>
      </c>
      <c r="B1800" t="s">
        <v>16</v>
      </c>
      <c r="C1800">
        <v>26.5</v>
      </c>
      <c r="D1800">
        <v>20.3</v>
      </c>
      <c r="E1800" s="2">
        <f>C1800*D1800 / 100</f>
        <v>5.3795000000000002</v>
      </c>
      <c r="F1800">
        <f>IF(F1799 &lt; 7, F1799 +1,1)</f>
        <v>7</v>
      </c>
      <c r="G1800">
        <f t="shared" si="27"/>
        <v>149.80000000000001</v>
      </c>
    </row>
    <row r="1801" spans="1:7">
      <c r="A1801" s="1">
        <v>50440</v>
      </c>
      <c r="B1801" t="s">
        <v>26</v>
      </c>
      <c r="C1801">
        <v>23.6</v>
      </c>
      <c r="D1801">
        <v>6.5</v>
      </c>
      <c r="E1801" s="2">
        <f>C1801*D1801 / 100</f>
        <v>1.534</v>
      </c>
      <c r="F1801">
        <f>IF(F1800 &lt; 7, F1800 +1,1)</f>
        <v>1</v>
      </c>
      <c r="G1801" t="str">
        <f t="shared" ref="G1801:G1864" si="28">IF(F1801=7, SUM(C1795:C1801), "")</f>
        <v/>
      </c>
    </row>
    <row r="1802" spans="1:7">
      <c r="A1802" s="1">
        <v>50441</v>
      </c>
      <c r="B1802" t="s">
        <v>9</v>
      </c>
      <c r="C1802">
        <v>22.4</v>
      </c>
      <c r="D1802">
        <v>13.3</v>
      </c>
      <c r="E1802" s="2">
        <f>C1802*D1802 / 100</f>
        <v>2.9792000000000001</v>
      </c>
      <c r="F1802">
        <f>IF(F1801 &lt; 7, F1801 +1,1)</f>
        <v>2</v>
      </c>
      <c r="G1802" t="str">
        <f t="shared" si="28"/>
        <v/>
      </c>
    </row>
    <row r="1803" spans="1:7">
      <c r="A1803" s="1">
        <v>50442</v>
      </c>
      <c r="B1803" t="s">
        <v>29</v>
      </c>
      <c r="C1803">
        <v>22</v>
      </c>
      <c r="D1803">
        <v>15.5</v>
      </c>
      <c r="E1803" s="2">
        <f>C1803*D1803 / 100</f>
        <v>3.41</v>
      </c>
      <c r="F1803">
        <f>IF(F1802 &lt; 7, F1802 +1,1)</f>
        <v>3</v>
      </c>
      <c r="G1803" t="str">
        <f t="shared" si="28"/>
        <v/>
      </c>
    </row>
    <row r="1804" spans="1:7">
      <c r="A1804" s="1">
        <v>50443</v>
      </c>
      <c r="B1804" t="s">
        <v>14</v>
      </c>
      <c r="C1804">
        <v>10.8</v>
      </c>
      <c r="D1804">
        <v>0.4</v>
      </c>
      <c r="E1804" s="2">
        <f>C1804*D1804 / 100</f>
        <v>4.3200000000000002E-2</v>
      </c>
      <c r="F1804">
        <f>IF(F1803 &lt; 7, F1803 +1,1)</f>
        <v>4</v>
      </c>
      <c r="G1804" t="str">
        <f t="shared" si="28"/>
        <v/>
      </c>
    </row>
    <row r="1805" spans="1:7">
      <c r="A1805" s="1">
        <v>50444</v>
      </c>
      <c r="B1805" t="s">
        <v>33</v>
      </c>
      <c r="C1805">
        <v>21.6</v>
      </c>
      <c r="D1805">
        <v>0</v>
      </c>
      <c r="E1805" s="2">
        <f>C1805*D1805 / 100</f>
        <v>0</v>
      </c>
      <c r="F1805">
        <f>IF(F1804 &lt; 7, F1804 +1,1)</f>
        <v>5</v>
      </c>
      <c r="G1805" t="str">
        <f t="shared" si="28"/>
        <v/>
      </c>
    </row>
    <row r="1806" spans="1:7">
      <c r="A1806" s="1">
        <v>50445</v>
      </c>
      <c r="B1806" t="s">
        <v>22</v>
      </c>
      <c r="C1806">
        <v>10.1</v>
      </c>
      <c r="D1806">
        <v>0</v>
      </c>
      <c r="E1806" s="2">
        <f>C1806*D1806 / 100</f>
        <v>0</v>
      </c>
      <c r="F1806">
        <f>IF(F1805 &lt; 7, F1805 +1,1)</f>
        <v>6</v>
      </c>
      <c r="G1806" t="str">
        <f t="shared" si="28"/>
        <v/>
      </c>
    </row>
    <row r="1807" spans="1:7">
      <c r="A1807" s="1">
        <v>50446</v>
      </c>
      <c r="B1807" t="s">
        <v>9</v>
      </c>
      <c r="C1807">
        <v>29</v>
      </c>
      <c r="D1807">
        <v>12.6</v>
      </c>
      <c r="E1807" s="2">
        <f>C1807*D1807 / 100</f>
        <v>3.6539999999999999</v>
      </c>
      <c r="F1807">
        <f>IF(F1806 &lt; 7, F1806 +1,1)</f>
        <v>7</v>
      </c>
      <c r="G1807">
        <f t="shared" si="28"/>
        <v>139.5</v>
      </c>
    </row>
    <row r="1808" spans="1:7">
      <c r="A1808" s="1">
        <v>50447</v>
      </c>
      <c r="B1808" t="s">
        <v>22</v>
      </c>
      <c r="C1808">
        <v>16.399999999999999</v>
      </c>
      <c r="D1808">
        <v>3.7</v>
      </c>
      <c r="E1808" s="2">
        <f>C1808*D1808 / 100</f>
        <v>0.60680000000000001</v>
      </c>
      <c r="F1808">
        <f>IF(F1807 &lt; 7, F1807 +1,1)</f>
        <v>1</v>
      </c>
      <c r="G1808" t="str">
        <f t="shared" si="28"/>
        <v/>
      </c>
    </row>
    <row r="1809" spans="1:7">
      <c r="A1809" s="1">
        <v>50448</v>
      </c>
      <c r="B1809" t="s">
        <v>36</v>
      </c>
      <c r="C1809">
        <v>13.5</v>
      </c>
      <c r="D1809">
        <v>38.5</v>
      </c>
      <c r="E1809" s="2">
        <f>C1809*D1809 / 100</f>
        <v>5.1974999999999998</v>
      </c>
      <c r="F1809">
        <f>IF(F1808 &lt; 7, F1808 +1,1)</f>
        <v>2</v>
      </c>
      <c r="G1809" t="str">
        <f t="shared" si="28"/>
        <v/>
      </c>
    </row>
    <row r="1810" spans="1:7">
      <c r="A1810" s="1">
        <v>50449</v>
      </c>
      <c r="B1810" t="s">
        <v>11</v>
      </c>
      <c r="C1810">
        <v>18.100000000000001</v>
      </c>
      <c r="D1810">
        <v>3</v>
      </c>
      <c r="E1810" s="2">
        <f>C1810*D1810 / 100</f>
        <v>0.54300000000000004</v>
      </c>
      <c r="F1810">
        <f>IF(F1809 &lt; 7, F1809 +1,1)</f>
        <v>3</v>
      </c>
      <c r="G1810" t="str">
        <f t="shared" si="28"/>
        <v/>
      </c>
    </row>
    <row r="1811" spans="1:7">
      <c r="A1811" s="1">
        <v>50450</v>
      </c>
      <c r="B1811" t="s">
        <v>16</v>
      </c>
      <c r="C1811">
        <v>20.399999999999999</v>
      </c>
      <c r="D1811">
        <v>11.7</v>
      </c>
      <c r="E1811" s="2">
        <f>C1811*D1811 / 100</f>
        <v>2.3867999999999996</v>
      </c>
      <c r="F1811">
        <f>IF(F1810 &lt; 7, F1810 +1,1)</f>
        <v>4</v>
      </c>
      <c r="G1811" t="str">
        <f t="shared" si="28"/>
        <v/>
      </c>
    </row>
    <row r="1812" spans="1:7">
      <c r="A1812" s="1">
        <v>50451</v>
      </c>
      <c r="B1812" t="s">
        <v>33</v>
      </c>
      <c r="C1812">
        <v>29.6</v>
      </c>
      <c r="D1812">
        <v>0.9</v>
      </c>
      <c r="E1812" s="2">
        <f>C1812*D1812 / 100</f>
        <v>0.26640000000000003</v>
      </c>
      <c r="F1812">
        <f>IF(F1811 &lt; 7, F1811 +1,1)</f>
        <v>5</v>
      </c>
      <c r="G1812" t="str">
        <f t="shared" si="28"/>
        <v/>
      </c>
    </row>
    <row r="1813" spans="1:7">
      <c r="A1813" s="1">
        <v>50452</v>
      </c>
      <c r="B1813" t="s">
        <v>27</v>
      </c>
      <c r="C1813">
        <v>11.4</v>
      </c>
      <c r="D1813">
        <v>0.6</v>
      </c>
      <c r="E1813" s="2">
        <f>C1813*D1813 / 100</f>
        <v>6.8400000000000002E-2</v>
      </c>
      <c r="F1813">
        <f>IF(F1812 &lt; 7, F1812 +1,1)</f>
        <v>6</v>
      </c>
      <c r="G1813" t="str">
        <f t="shared" si="28"/>
        <v/>
      </c>
    </row>
    <row r="1814" spans="1:7">
      <c r="A1814" s="1">
        <v>50453</v>
      </c>
      <c r="B1814" t="s">
        <v>9</v>
      </c>
      <c r="C1814">
        <v>28.8</v>
      </c>
      <c r="D1814">
        <v>14.1</v>
      </c>
      <c r="E1814" s="2">
        <f>C1814*D1814 / 100</f>
        <v>4.0607999999999995</v>
      </c>
      <c r="F1814">
        <f>IF(F1813 &lt; 7, F1813 +1,1)</f>
        <v>7</v>
      </c>
      <c r="G1814">
        <f t="shared" si="28"/>
        <v>138.20000000000002</v>
      </c>
    </row>
    <row r="1815" spans="1:7">
      <c r="A1815" s="1">
        <v>50454</v>
      </c>
      <c r="B1815" t="s">
        <v>21</v>
      </c>
      <c r="C1815">
        <v>11.8</v>
      </c>
      <c r="D1815">
        <v>42.4</v>
      </c>
      <c r="E1815" s="2">
        <f>C1815*D1815 / 100</f>
        <v>5.0031999999999996</v>
      </c>
      <c r="F1815">
        <f>IF(F1814 &lt; 7, F1814 +1,1)</f>
        <v>1</v>
      </c>
      <c r="G1815" t="str">
        <f t="shared" si="28"/>
        <v/>
      </c>
    </row>
    <row r="1816" spans="1:7">
      <c r="A1816" s="1">
        <v>50455</v>
      </c>
      <c r="B1816" t="s">
        <v>16</v>
      </c>
      <c r="C1816">
        <v>11.5</v>
      </c>
      <c r="D1816">
        <v>10.1</v>
      </c>
      <c r="E1816" s="2">
        <f>C1816*D1816 / 100</f>
        <v>1.1615</v>
      </c>
      <c r="F1816">
        <f>IF(F1815 &lt; 7, F1815 +1,1)</f>
        <v>2</v>
      </c>
      <c r="G1816" t="str">
        <f t="shared" si="28"/>
        <v/>
      </c>
    </row>
    <row r="1817" spans="1:7">
      <c r="A1817" s="1">
        <v>50456</v>
      </c>
      <c r="B1817" t="s">
        <v>19</v>
      </c>
      <c r="C1817">
        <v>13.6</v>
      </c>
      <c r="D1817">
        <v>8.4</v>
      </c>
      <c r="E1817" s="2">
        <f>C1817*D1817 / 100</f>
        <v>1.1423999999999999</v>
      </c>
      <c r="F1817">
        <f>IF(F1816 &lt; 7, F1816 +1,1)</f>
        <v>3</v>
      </c>
      <c r="G1817" t="str">
        <f t="shared" si="28"/>
        <v/>
      </c>
    </row>
    <row r="1818" spans="1:7">
      <c r="A1818" s="1">
        <v>50457</v>
      </c>
      <c r="B1818" t="s">
        <v>20</v>
      </c>
      <c r="C1818">
        <v>14.1</v>
      </c>
      <c r="D1818">
        <v>0.7</v>
      </c>
      <c r="E1818" s="2">
        <f>C1818*D1818 / 100</f>
        <v>9.8699999999999996E-2</v>
      </c>
      <c r="F1818">
        <f>IF(F1817 &lt; 7, F1817 +1,1)</f>
        <v>4</v>
      </c>
      <c r="G1818" t="str">
        <f t="shared" si="28"/>
        <v/>
      </c>
    </row>
    <row r="1819" spans="1:7">
      <c r="A1819" s="1">
        <v>50458</v>
      </c>
      <c r="B1819" t="s">
        <v>36</v>
      </c>
      <c r="C1819">
        <v>19.399999999999999</v>
      </c>
      <c r="D1819">
        <v>32.700000000000003</v>
      </c>
      <c r="E1819" s="2">
        <f>C1819*D1819 / 100</f>
        <v>6.3437999999999999</v>
      </c>
      <c r="F1819">
        <f>IF(F1818 &lt; 7, F1818 +1,1)</f>
        <v>5</v>
      </c>
      <c r="G1819" t="str">
        <f t="shared" si="28"/>
        <v/>
      </c>
    </row>
    <row r="1820" spans="1:7">
      <c r="A1820" s="1">
        <v>50459</v>
      </c>
      <c r="B1820" t="s">
        <v>32</v>
      </c>
      <c r="C1820">
        <v>28.5</v>
      </c>
      <c r="D1820">
        <v>0</v>
      </c>
      <c r="E1820" s="2">
        <f>C1820*D1820 / 100</f>
        <v>0</v>
      </c>
      <c r="F1820">
        <f>IF(F1819 &lt; 7, F1819 +1,1)</f>
        <v>6</v>
      </c>
      <c r="G1820" t="str">
        <f t="shared" si="28"/>
        <v/>
      </c>
    </row>
    <row r="1821" spans="1:7">
      <c r="A1821" s="1">
        <v>50460</v>
      </c>
      <c r="B1821" t="s">
        <v>36</v>
      </c>
      <c r="C1821">
        <v>23.7</v>
      </c>
      <c r="D1821">
        <v>12.2</v>
      </c>
      <c r="E1821" s="2">
        <f>C1821*D1821 / 100</f>
        <v>2.8914</v>
      </c>
      <c r="F1821">
        <f>IF(F1820 &lt; 7, F1820 +1,1)</f>
        <v>7</v>
      </c>
      <c r="G1821">
        <f t="shared" si="28"/>
        <v>122.60000000000001</v>
      </c>
    </row>
    <row r="1822" spans="1:7">
      <c r="A1822" s="1">
        <v>50461</v>
      </c>
      <c r="B1822" t="s">
        <v>18</v>
      </c>
      <c r="C1822">
        <v>21.7</v>
      </c>
      <c r="D1822">
        <v>0</v>
      </c>
      <c r="E1822" s="2">
        <f>C1822*D1822 / 100</f>
        <v>0</v>
      </c>
      <c r="F1822">
        <f>IF(F1821 &lt; 7, F1821 +1,1)</f>
        <v>1</v>
      </c>
      <c r="G1822" t="str">
        <f t="shared" si="28"/>
        <v/>
      </c>
    </row>
    <row r="1823" spans="1:7">
      <c r="A1823" s="1">
        <v>50462</v>
      </c>
      <c r="B1823" t="s">
        <v>30</v>
      </c>
      <c r="C1823">
        <v>13.3</v>
      </c>
      <c r="D1823">
        <v>0</v>
      </c>
      <c r="E1823" s="2">
        <f>C1823*D1823 / 100</f>
        <v>0</v>
      </c>
      <c r="F1823">
        <f>IF(F1822 &lt; 7, F1822 +1,1)</f>
        <v>2</v>
      </c>
      <c r="G1823" t="str">
        <f t="shared" si="28"/>
        <v/>
      </c>
    </row>
    <row r="1824" spans="1:7">
      <c r="A1824" s="1">
        <v>50463</v>
      </c>
      <c r="B1824" t="s">
        <v>26</v>
      </c>
      <c r="C1824">
        <v>14.4</v>
      </c>
      <c r="D1824">
        <v>0</v>
      </c>
      <c r="E1824" s="2">
        <f>C1824*D1824 / 100</f>
        <v>0</v>
      </c>
      <c r="F1824">
        <f>IF(F1823 &lt; 7, F1823 +1,1)</f>
        <v>3</v>
      </c>
      <c r="G1824" t="str">
        <f t="shared" si="28"/>
        <v/>
      </c>
    </row>
    <row r="1825" spans="1:7">
      <c r="A1825" s="1">
        <v>50464</v>
      </c>
      <c r="B1825" t="s">
        <v>9</v>
      </c>
      <c r="C1825">
        <v>28.5</v>
      </c>
      <c r="D1825">
        <v>21.5</v>
      </c>
      <c r="E1825" s="2">
        <f>C1825*D1825 / 100</f>
        <v>6.1275000000000004</v>
      </c>
      <c r="F1825">
        <f>IF(F1824 &lt; 7, F1824 +1,1)</f>
        <v>4</v>
      </c>
      <c r="G1825" t="str">
        <f t="shared" si="28"/>
        <v/>
      </c>
    </row>
    <row r="1826" spans="1:7">
      <c r="A1826" s="1">
        <v>50465</v>
      </c>
      <c r="B1826" t="s">
        <v>36</v>
      </c>
      <c r="C1826">
        <v>20.5</v>
      </c>
      <c r="D1826">
        <v>0</v>
      </c>
      <c r="E1826" s="2">
        <f>C1826*D1826 / 100</f>
        <v>0</v>
      </c>
      <c r="F1826">
        <f>IF(F1825 &lt; 7, F1825 +1,1)</f>
        <v>5</v>
      </c>
      <c r="G1826" t="str">
        <f t="shared" si="28"/>
        <v/>
      </c>
    </row>
    <row r="1827" spans="1:7">
      <c r="A1827" s="1">
        <v>50466</v>
      </c>
      <c r="B1827" t="s">
        <v>21</v>
      </c>
      <c r="C1827">
        <v>11.4</v>
      </c>
      <c r="D1827">
        <v>39</v>
      </c>
      <c r="E1827" s="2">
        <f>C1827*D1827 / 100</f>
        <v>4.4460000000000006</v>
      </c>
      <c r="F1827">
        <f>IF(F1826 &lt; 7, F1826 +1,1)</f>
        <v>6</v>
      </c>
      <c r="G1827" t="str">
        <f t="shared" si="28"/>
        <v/>
      </c>
    </row>
    <row r="1828" spans="1:7">
      <c r="A1828" s="1">
        <v>50467</v>
      </c>
      <c r="B1828" t="s">
        <v>26</v>
      </c>
      <c r="C1828">
        <v>12.5</v>
      </c>
      <c r="D1828">
        <v>0</v>
      </c>
      <c r="E1828" s="2">
        <f>C1828*D1828 / 100</f>
        <v>0</v>
      </c>
      <c r="F1828">
        <f>IF(F1827 &lt; 7, F1827 +1,1)</f>
        <v>7</v>
      </c>
      <c r="G1828">
        <f t="shared" si="28"/>
        <v>122.30000000000001</v>
      </c>
    </row>
    <row r="1829" spans="1:7">
      <c r="A1829" s="1">
        <v>50468</v>
      </c>
      <c r="B1829" t="s">
        <v>33</v>
      </c>
      <c r="C1829">
        <v>16.600000000000001</v>
      </c>
      <c r="D1829">
        <v>4.5999999999999996</v>
      </c>
      <c r="E1829" s="2">
        <f>C1829*D1829 / 100</f>
        <v>0.76359999999999995</v>
      </c>
      <c r="F1829">
        <f>IF(F1828 &lt; 7, F1828 +1,1)</f>
        <v>1</v>
      </c>
      <c r="G1829" t="str">
        <f t="shared" si="28"/>
        <v/>
      </c>
    </row>
    <row r="1830" spans="1:7">
      <c r="A1830" s="1">
        <v>50469</v>
      </c>
      <c r="B1830" t="s">
        <v>33</v>
      </c>
      <c r="C1830">
        <v>10.6</v>
      </c>
      <c r="D1830">
        <v>11.3</v>
      </c>
      <c r="E1830" s="2">
        <f>C1830*D1830 / 100</f>
        <v>1.1978</v>
      </c>
      <c r="F1830">
        <f>IF(F1829 &lt; 7, F1829 +1,1)</f>
        <v>2</v>
      </c>
      <c r="G1830" t="str">
        <f t="shared" si="28"/>
        <v/>
      </c>
    </row>
    <row r="1831" spans="1:7">
      <c r="A1831" s="1">
        <v>50470</v>
      </c>
      <c r="B1831" t="s">
        <v>16</v>
      </c>
      <c r="C1831">
        <v>27.9</v>
      </c>
      <c r="D1831">
        <v>16.100000000000001</v>
      </c>
      <c r="E1831" s="2">
        <f>C1831*D1831 / 100</f>
        <v>4.4919000000000002</v>
      </c>
      <c r="F1831">
        <f>IF(F1830 &lt; 7, F1830 +1,1)</f>
        <v>3</v>
      </c>
      <c r="G1831" t="str">
        <f t="shared" si="28"/>
        <v/>
      </c>
    </row>
    <row r="1832" spans="1:7">
      <c r="A1832" s="1">
        <v>50471</v>
      </c>
      <c r="B1832" t="s">
        <v>21</v>
      </c>
      <c r="C1832">
        <v>11.1</v>
      </c>
      <c r="D1832">
        <v>28.2</v>
      </c>
      <c r="E1832" s="2">
        <f>C1832*D1832 / 100</f>
        <v>3.1301999999999999</v>
      </c>
      <c r="F1832">
        <f>IF(F1831 &lt; 7, F1831 +1,1)</f>
        <v>4</v>
      </c>
      <c r="G1832" t="str">
        <f t="shared" si="28"/>
        <v/>
      </c>
    </row>
    <row r="1833" spans="1:7">
      <c r="A1833" s="1">
        <v>50472</v>
      </c>
      <c r="B1833" t="s">
        <v>16</v>
      </c>
      <c r="C1833">
        <v>21.5</v>
      </c>
      <c r="D1833">
        <v>12.8</v>
      </c>
      <c r="E1833" s="2">
        <f>C1833*D1833 / 100</f>
        <v>2.7519999999999998</v>
      </c>
      <c r="F1833">
        <f>IF(F1832 &lt; 7, F1832 +1,1)</f>
        <v>5</v>
      </c>
      <c r="G1833" t="str">
        <f t="shared" si="28"/>
        <v/>
      </c>
    </row>
    <row r="1834" spans="1:7">
      <c r="A1834" s="1">
        <v>50473</v>
      </c>
      <c r="B1834" t="s">
        <v>30</v>
      </c>
      <c r="C1834">
        <v>28.4</v>
      </c>
      <c r="D1834">
        <v>4.5999999999999996</v>
      </c>
      <c r="E1834" s="2">
        <f>C1834*D1834 / 100</f>
        <v>1.3063999999999998</v>
      </c>
      <c r="F1834">
        <f>IF(F1833 &lt; 7, F1833 +1,1)</f>
        <v>6</v>
      </c>
      <c r="G1834" t="str">
        <f t="shared" si="28"/>
        <v/>
      </c>
    </row>
    <row r="1835" spans="1:7">
      <c r="A1835" s="1">
        <v>50474</v>
      </c>
      <c r="B1835" t="s">
        <v>24</v>
      </c>
      <c r="C1835">
        <v>18.100000000000001</v>
      </c>
      <c r="D1835">
        <v>5.9</v>
      </c>
      <c r="E1835" s="2">
        <f>C1835*D1835 / 100</f>
        <v>1.0679000000000003</v>
      </c>
      <c r="F1835">
        <f>IF(F1834 &lt; 7, F1834 +1,1)</f>
        <v>7</v>
      </c>
      <c r="G1835">
        <f t="shared" si="28"/>
        <v>134.19999999999999</v>
      </c>
    </row>
    <row r="1836" spans="1:7">
      <c r="A1836" s="1">
        <v>50475</v>
      </c>
      <c r="B1836" t="s">
        <v>18</v>
      </c>
      <c r="C1836">
        <v>25.3</v>
      </c>
      <c r="D1836">
        <v>0</v>
      </c>
      <c r="E1836" s="2">
        <f>C1836*D1836 / 100</f>
        <v>0</v>
      </c>
      <c r="F1836">
        <f>IF(F1835 &lt; 7, F1835 +1,1)</f>
        <v>1</v>
      </c>
      <c r="G1836" t="str">
        <f t="shared" si="28"/>
        <v/>
      </c>
    </row>
    <row r="1837" spans="1:7">
      <c r="A1837" s="1">
        <v>50476</v>
      </c>
      <c r="B1837" t="s">
        <v>26</v>
      </c>
      <c r="C1837">
        <v>15.6</v>
      </c>
      <c r="D1837">
        <v>10.6</v>
      </c>
      <c r="E1837" s="2">
        <f>C1837*D1837 / 100</f>
        <v>1.6536</v>
      </c>
      <c r="F1837">
        <f>IF(F1836 &lt; 7, F1836 +1,1)</f>
        <v>2</v>
      </c>
      <c r="G1837" t="str">
        <f t="shared" si="28"/>
        <v/>
      </c>
    </row>
    <row r="1838" spans="1:7">
      <c r="A1838" s="1">
        <v>50477</v>
      </c>
      <c r="B1838" t="s">
        <v>36</v>
      </c>
      <c r="C1838">
        <v>19.899999999999999</v>
      </c>
      <c r="D1838">
        <v>0</v>
      </c>
      <c r="E1838" s="2">
        <f>C1838*D1838 / 100</f>
        <v>0</v>
      </c>
      <c r="F1838">
        <f>IF(F1837 &lt; 7, F1837 +1,1)</f>
        <v>3</v>
      </c>
      <c r="G1838" t="str">
        <f t="shared" si="28"/>
        <v/>
      </c>
    </row>
    <row r="1839" spans="1:7">
      <c r="A1839" s="1">
        <v>50478</v>
      </c>
      <c r="B1839" t="s">
        <v>16</v>
      </c>
      <c r="C1839">
        <v>24.7</v>
      </c>
      <c r="D1839">
        <v>14.7</v>
      </c>
      <c r="E1839" s="2">
        <f>C1839*D1839 / 100</f>
        <v>3.6308999999999996</v>
      </c>
      <c r="F1839">
        <f>IF(F1838 &lt; 7, F1838 +1,1)</f>
        <v>4</v>
      </c>
      <c r="G1839" t="str">
        <f t="shared" si="28"/>
        <v/>
      </c>
    </row>
    <row r="1840" spans="1:7">
      <c r="A1840" s="1">
        <v>50479</v>
      </c>
      <c r="B1840" t="s">
        <v>6</v>
      </c>
      <c r="C1840">
        <v>21.9</v>
      </c>
      <c r="D1840">
        <v>5.6</v>
      </c>
      <c r="E1840" s="2">
        <f>C1840*D1840 / 100</f>
        <v>1.2263999999999999</v>
      </c>
      <c r="F1840">
        <f>IF(F1839 &lt; 7, F1839 +1,1)</f>
        <v>5</v>
      </c>
      <c r="G1840" t="str">
        <f t="shared" si="28"/>
        <v/>
      </c>
    </row>
    <row r="1841" spans="1:7">
      <c r="A1841" s="1">
        <v>50480</v>
      </c>
      <c r="B1841" t="s">
        <v>11</v>
      </c>
      <c r="C1841">
        <v>18</v>
      </c>
      <c r="D1841">
        <v>6.2</v>
      </c>
      <c r="E1841" s="2">
        <f>C1841*D1841 / 100</f>
        <v>1.1160000000000001</v>
      </c>
      <c r="F1841">
        <f>IF(F1840 &lt; 7, F1840 +1,1)</f>
        <v>6</v>
      </c>
      <c r="G1841" t="str">
        <f t="shared" si="28"/>
        <v/>
      </c>
    </row>
    <row r="1842" spans="1:7">
      <c r="A1842" s="1">
        <v>50481</v>
      </c>
      <c r="B1842" t="s">
        <v>25</v>
      </c>
      <c r="C1842">
        <v>24.5</v>
      </c>
      <c r="D1842">
        <v>0.6</v>
      </c>
      <c r="E1842" s="2">
        <f>C1842*D1842 / 100</f>
        <v>0.14699999999999999</v>
      </c>
      <c r="F1842">
        <f>IF(F1841 &lt; 7, F1841 +1,1)</f>
        <v>7</v>
      </c>
      <c r="G1842">
        <f t="shared" si="28"/>
        <v>149.9</v>
      </c>
    </row>
    <row r="1843" spans="1:7">
      <c r="A1843" s="1">
        <v>50482</v>
      </c>
      <c r="B1843" t="s">
        <v>22</v>
      </c>
      <c r="C1843">
        <v>10.9</v>
      </c>
      <c r="D1843">
        <v>0</v>
      </c>
      <c r="E1843" s="2">
        <f>C1843*D1843 / 100</f>
        <v>0</v>
      </c>
      <c r="F1843">
        <f>IF(F1842 &lt; 7, F1842 +1,1)</f>
        <v>1</v>
      </c>
      <c r="G1843" t="str">
        <f t="shared" si="28"/>
        <v/>
      </c>
    </row>
    <row r="1844" spans="1:7">
      <c r="A1844" s="1">
        <v>50483</v>
      </c>
      <c r="B1844" t="s">
        <v>12</v>
      </c>
      <c r="C1844">
        <v>11.3</v>
      </c>
      <c r="D1844">
        <v>2.7</v>
      </c>
      <c r="E1844" s="2">
        <f>C1844*D1844 / 100</f>
        <v>0.30510000000000004</v>
      </c>
      <c r="F1844">
        <f>IF(F1843 &lt; 7, F1843 +1,1)</f>
        <v>2</v>
      </c>
      <c r="G1844" t="str">
        <f t="shared" si="28"/>
        <v/>
      </c>
    </row>
    <row r="1845" spans="1:7">
      <c r="A1845" s="1">
        <v>50484</v>
      </c>
      <c r="B1845" t="s">
        <v>21</v>
      </c>
      <c r="C1845">
        <v>13.2</v>
      </c>
      <c r="D1845">
        <v>30</v>
      </c>
      <c r="E1845" s="2">
        <f>C1845*D1845 / 100</f>
        <v>3.96</v>
      </c>
      <c r="F1845">
        <f>IF(F1844 &lt; 7, F1844 +1,1)</f>
        <v>3</v>
      </c>
      <c r="G1845" t="str">
        <f t="shared" si="28"/>
        <v/>
      </c>
    </row>
    <row r="1846" spans="1:7">
      <c r="A1846" s="1">
        <v>50485</v>
      </c>
      <c r="B1846" t="s">
        <v>22</v>
      </c>
      <c r="C1846">
        <v>18.7</v>
      </c>
      <c r="D1846">
        <v>4.7</v>
      </c>
      <c r="E1846" s="2">
        <f>C1846*D1846 / 100</f>
        <v>0.87890000000000001</v>
      </c>
      <c r="F1846">
        <f>IF(F1845 &lt; 7, F1845 +1,1)</f>
        <v>4</v>
      </c>
      <c r="G1846" t="str">
        <f t="shared" si="28"/>
        <v/>
      </c>
    </row>
    <row r="1847" spans="1:7">
      <c r="A1847" s="1">
        <v>50486</v>
      </c>
      <c r="B1847" t="s">
        <v>22</v>
      </c>
      <c r="C1847">
        <v>12.1</v>
      </c>
      <c r="D1847">
        <v>1.5</v>
      </c>
      <c r="E1847" s="2">
        <f>C1847*D1847 / 100</f>
        <v>0.18149999999999999</v>
      </c>
      <c r="F1847">
        <f>IF(F1846 &lt; 7, F1846 +1,1)</f>
        <v>5</v>
      </c>
      <c r="G1847" t="str">
        <f t="shared" si="28"/>
        <v/>
      </c>
    </row>
    <row r="1848" spans="1:7">
      <c r="A1848" s="1">
        <v>50487</v>
      </c>
      <c r="B1848" t="s">
        <v>33</v>
      </c>
      <c r="C1848">
        <v>11.9</v>
      </c>
      <c r="D1848">
        <v>1.3</v>
      </c>
      <c r="E1848" s="2">
        <f>C1848*D1848 / 100</f>
        <v>0.1547</v>
      </c>
      <c r="F1848">
        <f>IF(F1847 &lt; 7, F1847 +1,1)</f>
        <v>6</v>
      </c>
      <c r="G1848" t="str">
        <f t="shared" si="28"/>
        <v/>
      </c>
    </row>
    <row r="1849" spans="1:7">
      <c r="A1849" s="1">
        <v>50488</v>
      </c>
      <c r="B1849" t="s">
        <v>12</v>
      </c>
      <c r="C1849">
        <v>17.7</v>
      </c>
      <c r="D1849">
        <v>2.6</v>
      </c>
      <c r="E1849" s="2">
        <f>C1849*D1849 / 100</f>
        <v>0.46020000000000005</v>
      </c>
      <c r="F1849">
        <f>IF(F1848 &lt; 7, F1848 +1,1)</f>
        <v>7</v>
      </c>
      <c r="G1849">
        <f t="shared" si="28"/>
        <v>95.800000000000011</v>
      </c>
    </row>
    <row r="1850" spans="1:7">
      <c r="A1850" s="1">
        <v>50489</v>
      </c>
      <c r="B1850" t="s">
        <v>28</v>
      </c>
      <c r="C1850">
        <v>25.9</v>
      </c>
      <c r="D1850">
        <v>0.8</v>
      </c>
      <c r="E1850" s="2">
        <f>C1850*D1850 / 100</f>
        <v>0.2072</v>
      </c>
      <c r="F1850">
        <f>IF(F1849 &lt; 7, F1849 +1,1)</f>
        <v>1</v>
      </c>
      <c r="G1850" t="str">
        <f t="shared" si="28"/>
        <v/>
      </c>
    </row>
    <row r="1851" spans="1:7">
      <c r="A1851" s="1">
        <v>50490</v>
      </c>
      <c r="B1851" t="s">
        <v>30</v>
      </c>
      <c r="C1851">
        <v>27.7</v>
      </c>
      <c r="D1851">
        <v>0</v>
      </c>
      <c r="E1851" s="2">
        <f>C1851*D1851 / 100</f>
        <v>0</v>
      </c>
      <c r="F1851">
        <f>IF(F1850 &lt; 7, F1850 +1,1)</f>
        <v>2</v>
      </c>
      <c r="G1851" t="str">
        <f t="shared" si="28"/>
        <v/>
      </c>
    </row>
    <row r="1852" spans="1:7">
      <c r="A1852" s="1">
        <v>50491</v>
      </c>
      <c r="B1852" t="s">
        <v>19</v>
      </c>
      <c r="C1852">
        <v>13.3</v>
      </c>
      <c r="D1852">
        <v>13.3</v>
      </c>
      <c r="E1852" s="2">
        <f>C1852*D1852 / 100</f>
        <v>1.7689000000000001</v>
      </c>
      <c r="F1852">
        <f>IF(F1851 &lt; 7, F1851 +1,1)</f>
        <v>3</v>
      </c>
      <c r="G1852" t="str">
        <f t="shared" si="28"/>
        <v/>
      </c>
    </row>
    <row r="1853" spans="1:7">
      <c r="A1853" s="1">
        <v>50492</v>
      </c>
      <c r="B1853" t="s">
        <v>36</v>
      </c>
      <c r="C1853">
        <v>11.7</v>
      </c>
      <c r="D1853">
        <v>4.9000000000000004</v>
      </c>
      <c r="E1853" s="2">
        <f>C1853*D1853 / 100</f>
        <v>0.57330000000000003</v>
      </c>
      <c r="F1853">
        <f>IF(F1852 &lt; 7, F1852 +1,1)</f>
        <v>4</v>
      </c>
      <c r="G1853" t="str">
        <f t="shared" si="28"/>
        <v/>
      </c>
    </row>
    <row r="1854" spans="1:7">
      <c r="A1854" s="1">
        <v>50493</v>
      </c>
      <c r="B1854" t="s">
        <v>12</v>
      </c>
      <c r="C1854">
        <v>26.5</v>
      </c>
      <c r="D1854">
        <v>4.5</v>
      </c>
      <c r="E1854" s="2">
        <f>C1854*D1854 / 100</f>
        <v>1.1924999999999999</v>
      </c>
      <c r="F1854">
        <f>IF(F1853 &lt; 7, F1853 +1,1)</f>
        <v>5</v>
      </c>
      <c r="G1854" t="str">
        <f t="shared" si="28"/>
        <v/>
      </c>
    </row>
    <row r="1855" spans="1:7">
      <c r="A1855" s="1">
        <v>50494</v>
      </c>
      <c r="B1855" t="s">
        <v>14</v>
      </c>
      <c r="C1855">
        <v>18.7</v>
      </c>
      <c r="D1855">
        <v>2.2999999999999998</v>
      </c>
      <c r="E1855" s="2">
        <f>C1855*D1855 / 100</f>
        <v>0.43009999999999998</v>
      </c>
      <c r="F1855">
        <f>IF(F1854 &lt; 7, F1854 +1,1)</f>
        <v>6</v>
      </c>
      <c r="G1855" t="str">
        <f t="shared" si="28"/>
        <v/>
      </c>
    </row>
    <row r="1856" spans="1:7">
      <c r="A1856" s="1">
        <v>50495</v>
      </c>
      <c r="B1856" t="s">
        <v>24</v>
      </c>
      <c r="C1856">
        <v>11.7</v>
      </c>
      <c r="D1856">
        <v>6</v>
      </c>
      <c r="E1856" s="2">
        <f>C1856*D1856 / 100</f>
        <v>0.70199999999999985</v>
      </c>
      <c r="F1856">
        <f>IF(F1855 &lt; 7, F1855 +1,1)</f>
        <v>7</v>
      </c>
      <c r="G1856">
        <f t="shared" si="28"/>
        <v>135.5</v>
      </c>
    </row>
    <row r="1857" spans="1:7">
      <c r="A1857" s="1">
        <v>50496</v>
      </c>
      <c r="B1857" t="s">
        <v>36</v>
      </c>
      <c r="C1857">
        <v>27.5</v>
      </c>
      <c r="D1857">
        <v>22.6</v>
      </c>
      <c r="E1857" s="2">
        <f>C1857*D1857 / 100</f>
        <v>6.2149999999999999</v>
      </c>
      <c r="F1857">
        <f>IF(F1856 &lt; 7, F1856 +1,1)</f>
        <v>1</v>
      </c>
      <c r="G1857" t="str">
        <f t="shared" si="28"/>
        <v/>
      </c>
    </row>
    <row r="1858" spans="1:7">
      <c r="A1858" s="1">
        <v>50497</v>
      </c>
      <c r="B1858" t="s">
        <v>14</v>
      </c>
      <c r="C1858">
        <v>27.4</v>
      </c>
      <c r="D1858">
        <v>0</v>
      </c>
      <c r="E1858" s="2">
        <f>C1858*D1858 / 100</f>
        <v>0</v>
      </c>
      <c r="F1858">
        <f>IF(F1857 &lt; 7, F1857 +1,1)</f>
        <v>2</v>
      </c>
      <c r="G1858" t="str">
        <f t="shared" si="28"/>
        <v/>
      </c>
    </row>
    <row r="1859" spans="1:7">
      <c r="A1859" s="1">
        <v>50498</v>
      </c>
      <c r="B1859" t="s">
        <v>9</v>
      </c>
      <c r="C1859">
        <v>14.8</v>
      </c>
      <c r="D1859">
        <v>0</v>
      </c>
      <c r="E1859" s="2">
        <f>C1859*D1859 / 100</f>
        <v>0</v>
      </c>
      <c r="F1859">
        <f>IF(F1858 &lt; 7, F1858 +1,1)</f>
        <v>3</v>
      </c>
      <c r="G1859" t="str">
        <f t="shared" si="28"/>
        <v/>
      </c>
    </row>
    <row r="1860" spans="1:7">
      <c r="A1860" s="1">
        <v>50499</v>
      </c>
      <c r="B1860" t="s">
        <v>23</v>
      </c>
      <c r="C1860">
        <v>26.2</v>
      </c>
      <c r="D1860">
        <v>0</v>
      </c>
      <c r="E1860" s="2">
        <f>C1860*D1860 / 100</f>
        <v>0</v>
      </c>
      <c r="F1860">
        <f>IF(F1859 &lt; 7, F1859 +1,1)</f>
        <v>4</v>
      </c>
      <c r="G1860" t="str">
        <f t="shared" si="28"/>
        <v/>
      </c>
    </row>
    <row r="1861" spans="1:7">
      <c r="A1861" s="1">
        <v>50500</v>
      </c>
      <c r="B1861" t="s">
        <v>33</v>
      </c>
      <c r="C1861">
        <v>12.9</v>
      </c>
      <c r="D1861">
        <v>17.899999999999999</v>
      </c>
      <c r="E1861" s="2">
        <f>C1861*D1861 / 100</f>
        <v>2.3090999999999999</v>
      </c>
      <c r="F1861">
        <f>IF(F1860 &lt; 7, F1860 +1,1)</f>
        <v>5</v>
      </c>
      <c r="G1861" t="str">
        <f t="shared" si="28"/>
        <v/>
      </c>
    </row>
    <row r="1862" spans="1:7">
      <c r="A1862" s="1">
        <v>50501</v>
      </c>
      <c r="B1862" t="s">
        <v>35</v>
      </c>
      <c r="C1862">
        <v>12.5</v>
      </c>
      <c r="D1862">
        <v>0</v>
      </c>
      <c r="E1862" s="2">
        <f>C1862*D1862 / 100</f>
        <v>0</v>
      </c>
      <c r="F1862">
        <f>IF(F1861 &lt; 7, F1861 +1,1)</f>
        <v>6</v>
      </c>
      <c r="G1862" t="str">
        <f t="shared" si="28"/>
        <v/>
      </c>
    </row>
    <row r="1863" spans="1:7">
      <c r="A1863" s="1">
        <v>50502</v>
      </c>
      <c r="B1863" t="s">
        <v>13</v>
      </c>
      <c r="C1863">
        <v>12.3</v>
      </c>
      <c r="D1863">
        <v>0</v>
      </c>
      <c r="E1863" s="2">
        <f>C1863*D1863 / 100</f>
        <v>0</v>
      </c>
      <c r="F1863">
        <f>IF(F1862 &lt; 7, F1862 +1,1)</f>
        <v>7</v>
      </c>
      <c r="G1863">
        <f t="shared" si="28"/>
        <v>133.60000000000002</v>
      </c>
    </row>
    <row r="1864" spans="1:7">
      <c r="A1864" s="1">
        <v>50503</v>
      </c>
      <c r="B1864" t="s">
        <v>10</v>
      </c>
      <c r="C1864">
        <v>19.399999999999999</v>
      </c>
      <c r="D1864">
        <v>0</v>
      </c>
      <c r="E1864" s="2">
        <f>C1864*D1864 / 100</f>
        <v>0</v>
      </c>
      <c r="F1864">
        <f>IF(F1863 &lt; 7, F1863 +1,1)</f>
        <v>1</v>
      </c>
      <c r="G1864" t="str">
        <f t="shared" si="28"/>
        <v/>
      </c>
    </row>
    <row r="1865" spans="1:7">
      <c r="A1865" s="1">
        <v>50504</v>
      </c>
      <c r="B1865" t="s">
        <v>33</v>
      </c>
      <c r="C1865">
        <v>20.9</v>
      </c>
      <c r="D1865">
        <v>0</v>
      </c>
      <c r="E1865" s="2">
        <f>C1865*D1865 / 100</f>
        <v>0</v>
      </c>
      <c r="F1865">
        <f>IF(F1864 &lt; 7, F1864 +1,1)</f>
        <v>2</v>
      </c>
      <c r="G1865" t="str">
        <f t="shared" ref="G1865:G1928" si="29">IF(F1865=7, SUM(C1859:C1865), "")</f>
        <v/>
      </c>
    </row>
    <row r="1866" spans="1:7">
      <c r="A1866" s="1">
        <v>50505</v>
      </c>
      <c r="B1866" t="s">
        <v>26</v>
      </c>
      <c r="C1866">
        <v>10.4</v>
      </c>
      <c r="D1866">
        <v>0</v>
      </c>
      <c r="E1866" s="2">
        <f>C1866*D1866 / 100</f>
        <v>0</v>
      </c>
      <c r="F1866">
        <f>IF(F1865 &lt; 7, F1865 +1,1)</f>
        <v>3</v>
      </c>
      <c r="G1866" t="str">
        <f t="shared" si="29"/>
        <v/>
      </c>
    </row>
    <row r="1867" spans="1:7">
      <c r="A1867" s="1">
        <v>50506</v>
      </c>
      <c r="B1867" t="s">
        <v>9</v>
      </c>
      <c r="C1867">
        <v>22.2</v>
      </c>
      <c r="D1867">
        <v>2.5</v>
      </c>
      <c r="E1867" s="2">
        <f>C1867*D1867 / 100</f>
        <v>0.55500000000000005</v>
      </c>
      <c r="F1867">
        <f>IF(F1866 &lt; 7, F1866 +1,1)</f>
        <v>4</v>
      </c>
      <c r="G1867" t="str">
        <f t="shared" si="29"/>
        <v/>
      </c>
    </row>
    <row r="1868" spans="1:7">
      <c r="A1868" s="1">
        <v>50507</v>
      </c>
      <c r="B1868" t="s">
        <v>21</v>
      </c>
      <c r="C1868">
        <v>16.8</v>
      </c>
      <c r="D1868">
        <v>0</v>
      </c>
      <c r="E1868" s="2">
        <f>C1868*D1868 / 100</f>
        <v>0</v>
      </c>
      <c r="F1868">
        <f>IF(F1867 &lt; 7, F1867 +1,1)</f>
        <v>5</v>
      </c>
      <c r="G1868" t="str">
        <f t="shared" si="29"/>
        <v/>
      </c>
    </row>
    <row r="1869" spans="1:7">
      <c r="A1869" s="1">
        <v>50508</v>
      </c>
      <c r="B1869" t="s">
        <v>36</v>
      </c>
      <c r="C1869">
        <v>21.7</v>
      </c>
      <c r="D1869">
        <v>33.299999999999997</v>
      </c>
      <c r="E1869" s="2">
        <f>C1869*D1869 / 100</f>
        <v>7.2260999999999989</v>
      </c>
      <c r="F1869">
        <f>IF(F1868 &lt; 7, F1868 +1,1)</f>
        <v>6</v>
      </c>
      <c r="G1869" t="str">
        <f t="shared" si="29"/>
        <v/>
      </c>
    </row>
    <row r="1870" spans="1:7">
      <c r="A1870" s="1">
        <v>50509</v>
      </c>
      <c r="B1870" t="s">
        <v>9</v>
      </c>
      <c r="C1870">
        <v>10.199999999999999</v>
      </c>
      <c r="D1870">
        <v>16.600000000000001</v>
      </c>
      <c r="E1870" s="2">
        <f>C1870*D1870 / 100</f>
        <v>1.6932</v>
      </c>
      <c r="F1870">
        <f>IF(F1869 &lt; 7, F1869 +1,1)</f>
        <v>7</v>
      </c>
      <c r="G1870">
        <f t="shared" si="29"/>
        <v>121.6</v>
      </c>
    </row>
    <row r="1871" spans="1:7">
      <c r="A1871" s="1">
        <v>50510</v>
      </c>
      <c r="B1871" t="s">
        <v>21</v>
      </c>
      <c r="C1871">
        <v>16.5</v>
      </c>
      <c r="D1871">
        <v>0</v>
      </c>
      <c r="E1871" s="2">
        <f>C1871*D1871 / 100</f>
        <v>0</v>
      </c>
      <c r="F1871">
        <f>IF(F1870 &lt; 7, F1870 +1,1)</f>
        <v>1</v>
      </c>
      <c r="G1871" t="str">
        <f t="shared" si="29"/>
        <v/>
      </c>
    </row>
    <row r="1872" spans="1:7">
      <c r="A1872" s="1">
        <v>50511</v>
      </c>
      <c r="B1872" t="s">
        <v>31</v>
      </c>
      <c r="C1872">
        <v>29.1</v>
      </c>
      <c r="D1872">
        <v>0.5</v>
      </c>
      <c r="E1872" s="2">
        <f>C1872*D1872 / 100</f>
        <v>0.14550000000000002</v>
      </c>
      <c r="F1872">
        <f>IF(F1871 &lt; 7, F1871 +1,1)</f>
        <v>2</v>
      </c>
      <c r="G1872" t="str">
        <f t="shared" si="29"/>
        <v/>
      </c>
    </row>
    <row r="1873" spans="1:7">
      <c r="A1873" s="1">
        <v>50512</v>
      </c>
      <c r="B1873" t="s">
        <v>9</v>
      </c>
      <c r="C1873">
        <v>17.8</v>
      </c>
      <c r="D1873">
        <v>0</v>
      </c>
      <c r="E1873" s="2">
        <f>C1873*D1873 / 100</f>
        <v>0</v>
      </c>
      <c r="F1873">
        <f>IF(F1872 &lt; 7, F1872 +1,1)</f>
        <v>3</v>
      </c>
      <c r="G1873" t="str">
        <f t="shared" si="29"/>
        <v/>
      </c>
    </row>
    <row r="1874" spans="1:7">
      <c r="A1874" s="1">
        <v>50513</v>
      </c>
      <c r="B1874" t="s">
        <v>21</v>
      </c>
      <c r="C1874">
        <v>10</v>
      </c>
      <c r="D1874">
        <v>0</v>
      </c>
      <c r="E1874" s="2">
        <f>C1874*D1874 / 100</f>
        <v>0</v>
      </c>
      <c r="F1874">
        <f>IF(F1873 &lt; 7, F1873 +1,1)</f>
        <v>4</v>
      </c>
      <c r="G1874" t="str">
        <f t="shared" si="29"/>
        <v/>
      </c>
    </row>
    <row r="1875" spans="1:7">
      <c r="A1875" s="1">
        <v>50514</v>
      </c>
      <c r="B1875" t="s">
        <v>26</v>
      </c>
      <c r="C1875">
        <v>15.5</v>
      </c>
      <c r="D1875">
        <v>8.6</v>
      </c>
      <c r="E1875" s="2">
        <f>C1875*D1875 / 100</f>
        <v>1.3329999999999997</v>
      </c>
      <c r="F1875">
        <f>IF(F1874 &lt; 7, F1874 +1,1)</f>
        <v>5</v>
      </c>
      <c r="G1875" t="str">
        <f t="shared" si="29"/>
        <v/>
      </c>
    </row>
    <row r="1876" spans="1:7">
      <c r="A1876" s="1">
        <v>50515</v>
      </c>
      <c r="B1876" t="s">
        <v>21</v>
      </c>
      <c r="C1876">
        <v>15.3</v>
      </c>
      <c r="D1876">
        <v>21.4</v>
      </c>
      <c r="E1876" s="2">
        <f>C1876*D1876 / 100</f>
        <v>3.2742</v>
      </c>
      <c r="F1876">
        <f>IF(F1875 &lt; 7, F1875 +1,1)</f>
        <v>6</v>
      </c>
      <c r="G1876" t="str">
        <f t="shared" si="29"/>
        <v/>
      </c>
    </row>
    <row r="1877" spans="1:7">
      <c r="A1877" s="1">
        <v>50516</v>
      </c>
      <c r="B1877" t="s">
        <v>34</v>
      </c>
      <c r="C1877">
        <v>23.7</v>
      </c>
      <c r="D1877">
        <v>0</v>
      </c>
      <c r="E1877" s="2">
        <f>C1877*D1877 / 100</f>
        <v>0</v>
      </c>
      <c r="F1877">
        <f>IF(F1876 &lt; 7, F1876 +1,1)</f>
        <v>7</v>
      </c>
      <c r="G1877">
        <f t="shared" si="29"/>
        <v>127.9</v>
      </c>
    </row>
    <row r="1878" spans="1:7">
      <c r="A1878" s="1">
        <v>50517</v>
      </c>
      <c r="B1878" t="s">
        <v>9</v>
      </c>
      <c r="C1878">
        <v>26.1</v>
      </c>
      <c r="D1878">
        <v>12.5</v>
      </c>
      <c r="E1878" s="2">
        <f>C1878*D1878 / 100</f>
        <v>3.2625000000000002</v>
      </c>
      <c r="F1878">
        <f>IF(F1877 &lt; 7, F1877 +1,1)</f>
        <v>1</v>
      </c>
      <c r="G1878" t="str">
        <f t="shared" si="29"/>
        <v/>
      </c>
    </row>
    <row r="1879" spans="1:7">
      <c r="A1879" s="1">
        <v>50518</v>
      </c>
      <c r="B1879" t="s">
        <v>9</v>
      </c>
      <c r="C1879">
        <v>13.4</v>
      </c>
      <c r="D1879">
        <v>0</v>
      </c>
      <c r="E1879" s="2">
        <f>C1879*D1879 / 100</f>
        <v>0</v>
      </c>
      <c r="F1879">
        <f>IF(F1878 &lt; 7, F1878 +1,1)</f>
        <v>2</v>
      </c>
      <c r="G1879" t="str">
        <f t="shared" si="29"/>
        <v/>
      </c>
    </row>
    <row r="1880" spans="1:7">
      <c r="A1880" s="1">
        <v>50519</v>
      </c>
      <c r="B1880" t="s">
        <v>10</v>
      </c>
      <c r="C1880">
        <v>17.8</v>
      </c>
      <c r="D1880">
        <v>3.7</v>
      </c>
      <c r="E1880" s="2">
        <f>C1880*D1880 / 100</f>
        <v>0.65859999999999996</v>
      </c>
      <c r="F1880">
        <f>IF(F1879 &lt; 7, F1879 +1,1)</f>
        <v>3</v>
      </c>
      <c r="G1880" t="str">
        <f t="shared" si="29"/>
        <v/>
      </c>
    </row>
    <row r="1881" spans="1:7">
      <c r="A1881" s="1">
        <v>50520</v>
      </c>
      <c r="B1881" t="s">
        <v>13</v>
      </c>
      <c r="C1881">
        <v>13</v>
      </c>
      <c r="D1881">
        <v>2.7</v>
      </c>
      <c r="E1881" s="2">
        <f>C1881*D1881 / 100</f>
        <v>0.35100000000000003</v>
      </c>
      <c r="F1881">
        <f>IF(F1880 &lt; 7, F1880 +1,1)</f>
        <v>4</v>
      </c>
      <c r="G1881" t="str">
        <f t="shared" si="29"/>
        <v/>
      </c>
    </row>
    <row r="1882" spans="1:7">
      <c r="A1882" s="1">
        <v>50521</v>
      </c>
      <c r="B1882" t="s">
        <v>16</v>
      </c>
      <c r="C1882">
        <v>28.2</v>
      </c>
      <c r="D1882">
        <v>0</v>
      </c>
      <c r="E1882" s="2">
        <f>C1882*D1882 / 100</f>
        <v>0</v>
      </c>
      <c r="F1882">
        <f>IF(F1881 &lt; 7, F1881 +1,1)</f>
        <v>5</v>
      </c>
      <c r="G1882" t="str">
        <f t="shared" si="29"/>
        <v/>
      </c>
    </row>
    <row r="1883" spans="1:7">
      <c r="A1883" s="1">
        <v>50522</v>
      </c>
      <c r="B1883" t="s">
        <v>21</v>
      </c>
      <c r="C1883">
        <v>23</v>
      </c>
      <c r="D1883">
        <v>0</v>
      </c>
      <c r="E1883" s="2">
        <f>C1883*D1883 / 100</f>
        <v>0</v>
      </c>
      <c r="F1883">
        <f>IF(F1882 &lt; 7, F1882 +1,1)</f>
        <v>6</v>
      </c>
      <c r="G1883" t="str">
        <f t="shared" si="29"/>
        <v/>
      </c>
    </row>
    <row r="1884" spans="1:7">
      <c r="A1884" s="1">
        <v>50523</v>
      </c>
      <c r="B1884" t="s">
        <v>16</v>
      </c>
      <c r="C1884">
        <v>21.5</v>
      </c>
      <c r="D1884">
        <v>0</v>
      </c>
      <c r="E1884" s="2">
        <f>C1884*D1884 / 100</f>
        <v>0</v>
      </c>
      <c r="F1884">
        <f>IF(F1883 &lt; 7, F1883 +1,1)</f>
        <v>7</v>
      </c>
      <c r="G1884">
        <f t="shared" si="29"/>
        <v>143</v>
      </c>
    </row>
    <row r="1885" spans="1:7">
      <c r="A1885" s="1">
        <v>50524</v>
      </c>
      <c r="B1885" t="s">
        <v>29</v>
      </c>
      <c r="C1885">
        <v>22.3</v>
      </c>
      <c r="D1885">
        <v>0</v>
      </c>
      <c r="E1885" s="2">
        <f>C1885*D1885 / 100</f>
        <v>0</v>
      </c>
      <c r="F1885">
        <f>IF(F1884 &lt; 7, F1884 +1,1)</f>
        <v>1</v>
      </c>
      <c r="G1885" t="str">
        <f t="shared" si="29"/>
        <v/>
      </c>
    </row>
    <row r="1886" spans="1:7">
      <c r="A1886" s="1">
        <v>50525</v>
      </c>
      <c r="B1886" t="s">
        <v>21</v>
      </c>
      <c r="C1886">
        <v>28.2</v>
      </c>
      <c r="D1886">
        <v>0</v>
      </c>
      <c r="E1886" s="2">
        <f>C1886*D1886 / 100</f>
        <v>0</v>
      </c>
      <c r="F1886">
        <f>IF(F1885 &lt; 7, F1885 +1,1)</f>
        <v>2</v>
      </c>
      <c r="G1886" t="str">
        <f t="shared" si="29"/>
        <v/>
      </c>
    </row>
    <row r="1887" spans="1:7">
      <c r="A1887" s="1">
        <v>50526</v>
      </c>
      <c r="B1887" t="s">
        <v>13</v>
      </c>
      <c r="C1887">
        <v>11.9</v>
      </c>
      <c r="D1887">
        <v>3.4</v>
      </c>
      <c r="E1887" s="2">
        <f>C1887*D1887 / 100</f>
        <v>0.40460000000000002</v>
      </c>
      <c r="F1887">
        <f>IF(F1886 &lt; 7, F1886 +1,1)</f>
        <v>3</v>
      </c>
      <c r="G1887" t="str">
        <f t="shared" si="29"/>
        <v/>
      </c>
    </row>
    <row r="1888" spans="1:7">
      <c r="A1888" s="1">
        <v>50527</v>
      </c>
      <c r="B1888" t="s">
        <v>29</v>
      </c>
      <c r="C1888">
        <v>20.9</v>
      </c>
      <c r="D1888">
        <v>7.5</v>
      </c>
      <c r="E1888" s="2">
        <f>C1888*D1888 / 100</f>
        <v>1.5674999999999999</v>
      </c>
      <c r="F1888">
        <f>IF(F1887 &lt; 7, F1887 +1,1)</f>
        <v>4</v>
      </c>
      <c r="G1888" t="str">
        <f t="shared" si="29"/>
        <v/>
      </c>
    </row>
    <row r="1889" spans="1:7">
      <c r="A1889" s="1">
        <v>50528</v>
      </c>
      <c r="B1889" t="s">
        <v>27</v>
      </c>
      <c r="C1889">
        <v>18.399999999999999</v>
      </c>
      <c r="D1889">
        <v>0.2</v>
      </c>
      <c r="E1889" s="2">
        <f>C1889*D1889 / 100</f>
        <v>3.6799999999999999E-2</v>
      </c>
      <c r="F1889">
        <f>IF(F1888 &lt; 7, F1888 +1,1)</f>
        <v>5</v>
      </c>
      <c r="G1889" t="str">
        <f t="shared" si="29"/>
        <v/>
      </c>
    </row>
    <row r="1890" spans="1:7">
      <c r="A1890" s="1">
        <v>50529</v>
      </c>
      <c r="B1890" t="s">
        <v>21</v>
      </c>
      <c r="C1890">
        <v>27.8</v>
      </c>
      <c r="D1890">
        <v>35.9</v>
      </c>
      <c r="E1890" s="2">
        <f>C1890*D1890 / 100</f>
        <v>9.9802</v>
      </c>
      <c r="F1890">
        <f>IF(F1889 &lt; 7, F1889 +1,1)</f>
        <v>6</v>
      </c>
      <c r="G1890" t="str">
        <f t="shared" si="29"/>
        <v/>
      </c>
    </row>
    <row r="1891" spans="1:7">
      <c r="A1891" s="1">
        <v>50530</v>
      </c>
      <c r="B1891" t="s">
        <v>36</v>
      </c>
      <c r="C1891">
        <v>20.7</v>
      </c>
      <c r="D1891">
        <v>14.7</v>
      </c>
      <c r="E1891" s="2">
        <f>C1891*D1891 / 100</f>
        <v>3.0428999999999995</v>
      </c>
      <c r="F1891">
        <f>IF(F1890 &lt; 7, F1890 +1,1)</f>
        <v>7</v>
      </c>
      <c r="G1891">
        <f t="shared" si="29"/>
        <v>150.19999999999999</v>
      </c>
    </row>
    <row r="1892" spans="1:7">
      <c r="A1892" s="1">
        <v>50531</v>
      </c>
      <c r="B1892" t="s">
        <v>10</v>
      </c>
      <c r="C1892">
        <v>13</v>
      </c>
      <c r="D1892">
        <v>0</v>
      </c>
      <c r="E1892" s="2">
        <f>C1892*D1892 / 100</f>
        <v>0</v>
      </c>
      <c r="F1892">
        <f>IF(F1891 &lt; 7, F1891 +1,1)</f>
        <v>1</v>
      </c>
      <c r="G1892" t="str">
        <f t="shared" si="29"/>
        <v/>
      </c>
    </row>
    <row r="1893" spans="1:7">
      <c r="A1893" s="1">
        <v>50532</v>
      </c>
      <c r="B1893" t="s">
        <v>36</v>
      </c>
      <c r="C1893">
        <v>29.4</v>
      </c>
      <c r="D1893">
        <v>0</v>
      </c>
      <c r="E1893" s="2">
        <f>C1893*D1893 / 100</f>
        <v>0</v>
      </c>
      <c r="F1893">
        <f>IF(F1892 &lt; 7, F1892 +1,1)</f>
        <v>2</v>
      </c>
      <c r="G1893" t="str">
        <f t="shared" si="29"/>
        <v/>
      </c>
    </row>
    <row r="1894" spans="1:7">
      <c r="A1894" s="1">
        <v>50533</v>
      </c>
      <c r="B1894" t="s">
        <v>30</v>
      </c>
      <c r="C1894">
        <v>19.8</v>
      </c>
      <c r="D1894">
        <v>13.9</v>
      </c>
      <c r="E1894" s="2">
        <f>C1894*D1894 / 100</f>
        <v>2.7522000000000002</v>
      </c>
      <c r="F1894">
        <f>IF(F1893 &lt; 7, F1893 +1,1)</f>
        <v>3</v>
      </c>
      <c r="G1894" t="str">
        <f t="shared" si="29"/>
        <v/>
      </c>
    </row>
    <row r="1895" spans="1:7">
      <c r="A1895" s="1">
        <v>50534</v>
      </c>
      <c r="B1895" t="s">
        <v>9</v>
      </c>
      <c r="C1895">
        <v>10.9</v>
      </c>
      <c r="D1895">
        <v>17</v>
      </c>
      <c r="E1895" s="2">
        <f>C1895*D1895 / 100</f>
        <v>1.8530000000000002</v>
      </c>
      <c r="F1895">
        <f>IF(F1894 &lt; 7, F1894 +1,1)</f>
        <v>4</v>
      </c>
      <c r="G1895" t="str">
        <f t="shared" si="29"/>
        <v/>
      </c>
    </row>
    <row r="1896" spans="1:7">
      <c r="A1896" s="1">
        <v>50535</v>
      </c>
      <c r="B1896" t="s">
        <v>21</v>
      </c>
      <c r="C1896">
        <v>27.3</v>
      </c>
      <c r="D1896">
        <v>15.8</v>
      </c>
      <c r="E1896" s="2">
        <f>C1896*D1896 / 100</f>
        <v>4.3134000000000006</v>
      </c>
      <c r="F1896">
        <f>IF(F1895 &lt; 7, F1895 +1,1)</f>
        <v>5</v>
      </c>
      <c r="G1896" t="str">
        <f t="shared" si="29"/>
        <v/>
      </c>
    </row>
    <row r="1897" spans="1:7">
      <c r="A1897" s="1">
        <v>50536</v>
      </c>
      <c r="B1897" t="s">
        <v>36</v>
      </c>
      <c r="C1897">
        <v>16.399999999999999</v>
      </c>
      <c r="D1897">
        <v>0</v>
      </c>
      <c r="E1897" s="2">
        <f>C1897*D1897 / 100</f>
        <v>0</v>
      </c>
      <c r="F1897">
        <f>IF(F1896 &lt; 7, F1896 +1,1)</f>
        <v>6</v>
      </c>
      <c r="G1897" t="str">
        <f t="shared" si="29"/>
        <v/>
      </c>
    </row>
    <row r="1898" spans="1:7">
      <c r="A1898" s="1">
        <v>50537</v>
      </c>
      <c r="B1898" t="s">
        <v>33</v>
      </c>
      <c r="C1898">
        <v>28</v>
      </c>
      <c r="D1898">
        <v>9.6999999999999993</v>
      </c>
      <c r="E1898" s="2">
        <f>C1898*D1898 / 100</f>
        <v>2.7159999999999997</v>
      </c>
      <c r="F1898">
        <f>IF(F1897 &lt; 7, F1897 +1,1)</f>
        <v>7</v>
      </c>
      <c r="G1898">
        <f t="shared" si="29"/>
        <v>144.80000000000001</v>
      </c>
    </row>
    <row r="1899" spans="1:7">
      <c r="A1899" s="1">
        <v>50538</v>
      </c>
      <c r="B1899" t="s">
        <v>16</v>
      </c>
      <c r="C1899">
        <v>17.399999999999999</v>
      </c>
      <c r="D1899">
        <v>6.6</v>
      </c>
      <c r="E1899" s="2">
        <f>C1899*D1899 / 100</f>
        <v>1.1483999999999999</v>
      </c>
      <c r="F1899">
        <f>IF(F1898 &lt; 7, F1898 +1,1)</f>
        <v>1</v>
      </c>
      <c r="G1899" t="str">
        <f t="shared" si="29"/>
        <v/>
      </c>
    </row>
    <row r="1900" spans="1:7">
      <c r="A1900" s="1">
        <v>50539</v>
      </c>
      <c r="B1900" t="s">
        <v>22</v>
      </c>
      <c r="C1900">
        <v>25.7</v>
      </c>
      <c r="D1900">
        <v>0.7</v>
      </c>
      <c r="E1900" s="2">
        <f>C1900*D1900 / 100</f>
        <v>0.17989999999999998</v>
      </c>
      <c r="F1900">
        <f>IF(F1899 &lt; 7, F1899 +1,1)</f>
        <v>2</v>
      </c>
      <c r="G1900" t="str">
        <f t="shared" si="29"/>
        <v/>
      </c>
    </row>
    <row r="1901" spans="1:7">
      <c r="A1901" s="1">
        <v>50540</v>
      </c>
      <c r="B1901" t="s">
        <v>36</v>
      </c>
      <c r="C1901">
        <v>20.100000000000001</v>
      </c>
      <c r="D1901">
        <v>11</v>
      </c>
      <c r="E1901" s="2">
        <f>C1901*D1901 / 100</f>
        <v>2.2110000000000003</v>
      </c>
      <c r="F1901">
        <f>IF(F1900 &lt; 7, F1900 +1,1)</f>
        <v>3</v>
      </c>
      <c r="G1901" t="str">
        <f t="shared" si="29"/>
        <v/>
      </c>
    </row>
    <row r="1902" spans="1:7">
      <c r="A1902" s="1">
        <v>50541</v>
      </c>
      <c r="B1902" t="s">
        <v>36</v>
      </c>
      <c r="C1902">
        <v>17.899999999999999</v>
      </c>
      <c r="D1902">
        <v>0</v>
      </c>
      <c r="E1902" s="2">
        <f>C1902*D1902 / 100</f>
        <v>0</v>
      </c>
      <c r="F1902">
        <f>IF(F1901 &lt; 7, F1901 +1,1)</f>
        <v>4</v>
      </c>
      <c r="G1902" t="str">
        <f t="shared" si="29"/>
        <v/>
      </c>
    </row>
    <row r="1903" spans="1:7">
      <c r="A1903" s="1">
        <v>50542</v>
      </c>
      <c r="B1903" t="s">
        <v>9</v>
      </c>
      <c r="C1903">
        <v>10.7</v>
      </c>
      <c r="D1903">
        <v>6.4</v>
      </c>
      <c r="E1903" s="2">
        <f>C1903*D1903 / 100</f>
        <v>0.68480000000000008</v>
      </c>
      <c r="F1903">
        <f>IF(F1902 &lt; 7, F1902 +1,1)</f>
        <v>5</v>
      </c>
      <c r="G1903" t="str">
        <f t="shared" si="29"/>
        <v/>
      </c>
    </row>
    <row r="1904" spans="1:7">
      <c r="A1904" s="1">
        <v>50543</v>
      </c>
      <c r="B1904" t="s">
        <v>26</v>
      </c>
      <c r="C1904">
        <v>20.399999999999999</v>
      </c>
      <c r="D1904">
        <v>0</v>
      </c>
      <c r="E1904" s="2">
        <f>C1904*D1904 / 100</f>
        <v>0</v>
      </c>
      <c r="F1904">
        <f>IF(F1903 &lt; 7, F1903 +1,1)</f>
        <v>6</v>
      </c>
      <c r="G1904" t="str">
        <f t="shared" si="29"/>
        <v/>
      </c>
    </row>
    <row r="1905" spans="1:7">
      <c r="A1905" s="1">
        <v>50544</v>
      </c>
      <c r="B1905" t="s">
        <v>34</v>
      </c>
      <c r="C1905">
        <v>25.4</v>
      </c>
      <c r="D1905">
        <v>1</v>
      </c>
      <c r="E1905" s="2">
        <f>C1905*D1905 / 100</f>
        <v>0.254</v>
      </c>
      <c r="F1905">
        <f>IF(F1904 &lt; 7, F1904 +1,1)</f>
        <v>7</v>
      </c>
      <c r="G1905">
        <f t="shared" si="29"/>
        <v>137.6</v>
      </c>
    </row>
    <row r="1906" spans="1:7">
      <c r="A1906" s="1">
        <v>50545</v>
      </c>
      <c r="B1906" t="s">
        <v>22</v>
      </c>
      <c r="C1906">
        <v>10.9</v>
      </c>
      <c r="D1906">
        <v>0.2</v>
      </c>
      <c r="E1906" s="2">
        <f>C1906*D1906 / 100</f>
        <v>2.18E-2</v>
      </c>
      <c r="F1906">
        <f>IF(F1905 &lt; 7, F1905 +1,1)</f>
        <v>1</v>
      </c>
      <c r="G1906" t="str">
        <f t="shared" si="29"/>
        <v/>
      </c>
    </row>
    <row r="1907" spans="1:7">
      <c r="A1907" s="1">
        <v>50546</v>
      </c>
      <c r="B1907" t="s">
        <v>14</v>
      </c>
      <c r="C1907">
        <v>18.5</v>
      </c>
      <c r="D1907">
        <v>0.5</v>
      </c>
      <c r="E1907" s="2">
        <f>C1907*D1907 / 100</f>
        <v>9.2499999999999999E-2</v>
      </c>
      <c r="F1907">
        <f>IF(F1906 &lt; 7, F1906 +1,1)</f>
        <v>2</v>
      </c>
      <c r="G1907" t="str">
        <f t="shared" si="29"/>
        <v/>
      </c>
    </row>
    <row r="1908" spans="1:7">
      <c r="A1908" s="1">
        <v>50547</v>
      </c>
      <c r="B1908" t="s">
        <v>21</v>
      </c>
      <c r="C1908">
        <v>14.8</v>
      </c>
      <c r="D1908">
        <v>50.3</v>
      </c>
      <c r="E1908" s="2">
        <f>C1908*D1908 / 100</f>
        <v>7.444399999999999</v>
      </c>
      <c r="F1908">
        <f>IF(F1907 &lt; 7, F1907 +1,1)</f>
        <v>3</v>
      </c>
      <c r="G1908" t="str">
        <f t="shared" si="29"/>
        <v/>
      </c>
    </row>
    <row r="1909" spans="1:7">
      <c r="A1909" s="1">
        <v>50548</v>
      </c>
      <c r="B1909" t="s">
        <v>29</v>
      </c>
      <c r="C1909">
        <v>28.5</v>
      </c>
      <c r="D1909">
        <v>0.7</v>
      </c>
      <c r="E1909" s="2">
        <f>C1909*D1909 / 100</f>
        <v>0.19949999999999998</v>
      </c>
      <c r="F1909">
        <f>IF(F1908 &lt; 7, F1908 +1,1)</f>
        <v>4</v>
      </c>
      <c r="G1909" t="str">
        <f t="shared" si="29"/>
        <v/>
      </c>
    </row>
    <row r="1910" spans="1:7">
      <c r="A1910" s="1">
        <v>50549</v>
      </c>
      <c r="B1910" t="s">
        <v>20</v>
      </c>
      <c r="C1910">
        <v>19.399999999999999</v>
      </c>
      <c r="D1910">
        <v>0</v>
      </c>
      <c r="E1910" s="2">
        <f>C1910*D1910 / 100</f>
        <v>0</v>
      </c>
      <c r="F1910">
        <f>IF(F1909 &lt; 7, F1909 +1,1)</f>
        <v>5</v>
      </c>
      <c r="G1910" t="str">
        <f t="shared" si="29"/>
        <v/>
      </c>
    </row>
    <row r="1911" spans="1:7">
      <c r="A1911" s="1">
        <v>50550</v>
      </c>
      <c r="B1911" t="s">
        <v>6</v>
      </c>
      <c r="C1911">
        <v>20.7</v>
      </c>
      <c r="D1911">
        <v>4.7</v>
      </c>
      <c r="E1911" s="2">
        <f>C1911*D1911 / 100</f>
        <v>0.9729000000000001</v>
      </c>
      <c r="F1911">
        <f>IF(F1910 &lt; 7, F1910 +1,1)</f>
        <v>6</v>
      </c>
      <c r="G1911" t="str">
        <f t="shared" si="29"/>
        <v/>
      </c>
    </row>
    <row r="1912" spans="1:7">
      <c r="A1912" s="1">
        <v>50551</v>
      </c>
      <c r="B1912" t="s">
        <v>12</v>
      </c>
      <c r="C1912">
        <v>25.7</v>
      </c>
      <c r="D1912">
        <v>0</v>
      </c>
      <c r="E1912" s="2">
        <f>C1912*D1912 / 100</f>
        <v>0</v>
      </c>
      <c r="F1912">
        <f>IF(F1911 &lt; 7, F1911 +1,1)</f>
        <v>7</v>
      </c>
      <c r="G1912">
        <f t="shared" si="29"/>
        <v>138.5</v>
      </c>
    </row>
    <row r="1913" spans="1:7">
      <c r="A1913" s="1">
        <v>50552</v>
      </c>
      <c r="B1913" t="s">
        <v>36</v>
      </c>
      <c r="C1913">
        <v>21.4</v>
      </c>
      <c r="D1913">
        <v>0</v>
      </c>
      <c r="E1913" s="2">
        <f>C1913*D1913 / 100</f>
        <v>0</v>
      </c>
      <c r="F1913">
        <f>IF(F1912 &lt; 7, F1912 +1,1)</f>
        <v>1</v>
      </c>
      <c r="G1913" t="str">
        <f t="shared" si="29"/>
        <v/>
      </c>
    </row>
    <row r="1914" spans="1:7">
      <c r="A1914" s="1">
        <v>50553</v>
      </c>
      <c r="B1914" t="s">
        <v>21</v>
      </c>
      <c r="C1914">
        <v>19.2</v>
      </c>
      <c r="D1914">
        <v>0</v>
      </c>
      <c r="E1914" s="2">
        <f>C1914*D1914 / 100</f>
        <v>0</v>
      </c>
      <c r="F1914">
        <f>IF(F1913 &lt; 7, F1913 +1,1)</f>
        <v>2</v>
      </c>
      <c r="G1914" t="str">
        <f t="shared" si="29"/>
        <v/>
      </c>
    </row>
    <row r="1915" spans="1:7">
      <c r="A1915" s="1">
        <v>50554</v>
      </c>
      <c r="B1915" t="s">
        <v>29</v>
      </c>
      <c r="C1915">
        <v>19.399999999999999</v>
      </c>
      <c r="D1915">
        <v>14.2</v>
      </c>
      <c r="E1915" s="2">
        <f>C1915*D1915 / 100</f>
        <v>2.7547999999999995</v>
      </c>
      <c r="F1915">
        <f>IF(F1914 &lt; 7, F1914 +1,1)</f>
        <v>3</v>
      </c>
      <c r="G1915" t="str">
        <f t="shared" si="29"/>
        <v/>
      </c>
    </row>
    <row r="1916" spans="1:7">
      <c r="A1916" s="1">
        <v>50555</v>
      </c>
      <c r="B1916" t="s">
        <v>36</v>
      </c>
      <c r="C1916">
        <v>24.2</v>
      </c>
      <c r="D1916">
        <v>1.9</v>
      </c>
      <c r="E1916" s="2">
        <f>C1916*D1916 / 100</f>
        <v>0.45979999999999999</v>
      </c>
      <c r="F1916">
        <f>IF(F1915 &lt; 7, F1915 +1,1)</f>
        <v>4</v>
      </c>
      <c r="G1916" t="str">
        <f t="shared" si="29"/>
        <v/>
      </c>
    </row>
    <row r="1917" spans="1:7">
      <c r="A1917" s="1">
        <v>50556</v>
      </c>
      <c r="B1917" t="s">
        <v>16</v>
      </c>
      <c r="C1917">
        <v>27.7</v>
      </c>
      <c r="D1917">
        <v>19.5</v>
      </c>
      <c r="E1917" s="2">
        <f>C1917*D1917 / 100</f>
        <v>5.4014999999999995</v>
      </c>
      <c r="F1917">
        <f>IF(F1916 &lt; 7, F1916 +1,1)</f>
        <v>5</v>
      </c>
      <c r="G1917" t="str">
        <f t="shared" si="29"/>
        <v/>
      </c>
    </row>
    <row r="1918" spans="1:7">
      <c r="A1918" s="1">
        <v>50557</v>
      </c>
      <c r="B1918" t="s">
        <v>10</v>
      </c>
      <c r="C1918">
        <v>16.899999999999999</v>
      </c>
      <c r="D1918">
        <v>4.0999999999999996</v>
      </c>
      <c r="E1918" s="2">
        <f>C1918*D1918 / 100</f>
        <v>0.69289999999999996</v>
      </c>
      <c r="F1918">
        <f>IF(F1917 &lt; 7, F1917 +1,1)</f>
        <v>6</v>
      </c>
      <c r="G1918" t="str">
        <f t="shared" si="29"/>
        <v/>
      </c>
    </row>
    <row r="1919" spans="1:7">
      <c r="A1919" s="1">
        <v>50558</v>
      </c>
      <c r="B1919" t="s">
        <v>36</v>
      </c>
      <c r="C1919">
        <v>11.8</v>
      </c>
      <c r="D1919">
        <v>0</v>
      </c>
      <c r="E1919" s="2">
        <f>C1919*D1919 / 100</f>
        <v>0</v>
      </c>
      <c r="F1919">
        <f>IF(F1918 &lt; 7, F1918 +1,1)</f>
        <v>7</v>
      </c>
      <c r="G1919">
        <f t="shared" si="29"/>
        <v>140.6</v>
      </c>
    </row>
    <row r="1920" spans="1:7">
      <c r="A1920" s="1">
        <v>50559</v>
      </c>
      <c r="B1920" t="s">
        <v>34</v>
      </c>
      <c r="C1920">
        <v>15.7</v>
      </c>
      <c r="D1920">
        <v>9.4</v>
      </c>
      <c r="E1920" s="2">
        <f>C1920*D1920 / 100</f>
        <v>1.4758000000000002</v>
      </c>
      <c r="F1920">
        <f>IF(F1919 &lt; 7, F1919 +1,1)</f>
        <v>1</v>
      </c>
      <c r="G1920" t="str">
        <f t="shared" si="29"/>
        <v/>
      </c>
    </row>
    <row r="1921" spans="1:7">
      <c r="A1921" s="1">
        <v>50560</v>
      </c>
      <c r="B1921" t="s">
        <v>30</v>
      </c>
      <c r="C1921">
        <v>14.2</v>
      </c>
      <c r="D1921">
        <v>0</v>
      </c>
      <c r="E1921" s="2">
        <f>C1921*D1921 / 100</f>
        <v>0</v>
      </c>
      <c r="F1921">
        <f>IF(F1920 &lt; 7, F1920 +1,1)</f>
        <v>2</v>
      </c>
      <c r="G1921" t="str">
        <f t="shared" si="29"/>
        <v/>
      </c>
    </row>
    <row r="1922" spans="1:7">
      <c r="A1922" s="1">
        <v>50561</v>
      </c>
      <c r="B1922" t="s">
        <v>33</v>
      </c>
      <c r="C1922">
        <v>18.100000000000001</v>
      </c>
      <c r="D1922">
        <v>13.1</v>
      </c>
      <c r="E1922" s="2">
        <f>C1922*D1922 / 100</f>
        <v>2.3711000000000002</v>
      </c>
      <c r="F1922">
        <f>IF(F1921 &lt; 7, F1921 +1,1)</f>
        <v>3</v>
      </c>
      <c r="G1922" t="str">
        <f t="shared" si="29"/>
        <v/>
      </c>
    </row>
    <row r="1923" spans="1:7">
      <c r="A1923" s="1">
        <v>50562</v>
      </c>
      <c r="B1923" t="s">
        <v>36</v>
      </c>
      <c r="C1923">
        <v>21.9</v>
      </c>
      <c r="D1923">
        <v>27.5</v>
      </c>
      <c r="E1923" s="2">
        <f>C1923*D1923 / 100</f>
        <v>6.0225</v>
      </c>
      <c r="F1923">
        <f>IF(F1922 &lt; 7, F1922 +1,1)</f>
        <v>4</v>
      </c>
      <c r="G1923" t="str">
        <f t="shared" si="29"/>
        <v/>
      </c>
    </row>
    <row r="1924" spans="1:7">
      <c r="A1924" s="1">
        <v>50563</v>
      </c>
      <c r="B1924" t="s">
        <v>21</v>
      </c>
      <c r="C1924">
        <v>28</v>
      </c>
      <c r="D1924">
        <v>2.1</v>
      </c>
      <c r="E1924" s="2">
        <f>C1924*D1924 / 100</f>
        <v>0.58800000000000008</v>
      </c>
      <c r="F1924">
        <f>IF(F1923 &lt; 7, F1923 +1,1)</f>
        <v>5</v>
      </c>
      <c r="G1924" t="str">
        <f t="shared" si="29"/>
        <v/>
      </c>
    </row>
    <row r="1925" spans="1:7">
      <c r="A1925" s="1">
        <v>50564</v>
      </c>
      <c r="B1925" t="s">
        <v>19</v>
      </c>
      <c r="C1925">
        <v>14.2</v>
      </c>
      <c r="D1925">
        <v>7</v>
      </c>
      <c r="E1925" s="2">
        <f>C1925*D1925 / 100</f>
        <v>0.99399999999999988</v>
      </c>
      <c r="F1925">
        <f>IF(F1924 &lt; 7, F1924 +1,1)</f>
        <v>6</v>
      </c>
      <c r="G1925" t="str">
        <f t="shared" si="29"/>
        <v/>
      </c>
    </row>
    <row r="1926" spans="1:7">
      <c r="A1926" s="1">
        <v>50565</v>
      </c>
      <c r="B1926" t="s">
        <v>19</v>
      </c>
      <c r="C1926">
        <v>11.1</v>
      </c>
      <c r="D1926">
        <v>0</v>
      </c>
      <c r="E1926" s="2">
        <f>C1926*D1926 / 100</f>
        <v>0</v>
      </c>
      <c r="F1926">
        <f>IF(F1925 &lt; 7, F1925 +1,1)</f>
        <v>7</v>
      </c>
      <c r="G1926">
        <f t="shared" si="29"/>
        <v>123.2</v>
      </c>
    </row>
    <row r="1927" spans="1:7">
      <c r="A1927" s="1">
        <v>50566</v>
      </c>
      <c r="B1927" t="s">
        <v>11</v>
      </c>
      <c r="C1927">
        <v>11.8</v>
      </c>
      <c r="D1927">
        <v>6</v>
      </c>
      <c r="E1927" s="2">
        <f>C1927*D1927 / 100</f>
        <v>0.70800000000000007</v>
      </c>
      <c r="F1927">
        <f>IF(F1926 &lt; 7, F1926 +1,1)</f>
        <v>1</v>
      </c>
      <c r="G1927" t="str">
        <f t="shared" si="29"/>
        <v/>
      </c>
    </row>
    <row r="1928" spans="1:7">
      <c r="A1928" s="1">
        <v>50567</v>
      </c>
      <c r="B1928" t="s">
        <v>32</v>
      </c>
      <c r="C1928">
        <v>26.8</v>
      </c>
      <c r="D1928">
        <v>0.9</v>
      </c>
      <c r="E1928" s="2">
        <f>C1928*D1928 / 100</f>
        <v>0.2412</v>
      </c>
      <c r="F1928">
        <f>IF(F1927 &lt; 7, F1927 +1,1)</f>
        <v>2</v>
      </c>
      <c r="G1928" t="str">
        <f t="shared" si="29"/>
        <v/>
      </c>
    </row>
    <row r="1929" spans="1:7">
      <c r="A1929" s="1">
        <v>50568</v>
      </c>
      <c r="B1929" t="s">
        <v>21</v>
      </c>
      <c r="C1929">
        <v>27.3</v>
      </c>
      <c r="D1929">
        <v>44.5</v>
      </c>
      <c r="E1929" s="2">
        <f>C1929*D1929 / 100</f>
        <v>12.148500000000002</v>
      </c>
      <c r="F1929">
        <f>IF(F1928 &lt; 7, F1928 +1,1)</f>
        <v>3</v>
      </c>
      <c r="G1929" t="str">
        <f t="shared" ref="G1929:G1992" si="30">IF(F1929=7, SUM(C1923:C1929), "")</f>
        <v/>
      </c>
    </row>
    <row r="1930" spans="1:7">
      <c r="A1930" s="1">
        <v>50569</v>
      </c>
      <c r="B1930" t="s">
        <v>22</v>
      </c>
      <c r="C1930">
        <v>14.3</v>
      </c>
      <c r="D1930">
        <v>3.7</v>
      </c>
      <c r="E1930" s="2">
        <f>C1930*D1930 / 100</f>
        <v>0.52910000000000001</v>
      </c>
      <c r="F1930">
        <f>IF(F1929 &lt; 7, F1929 +1,1)</f>
        <v>4</v>
      </c>
      <c r="G1930" t="str">
        <f t="shared" si="30"/>
        <v/>
      </c>
    </row>
    <row r="1931" spans="1:7">
      <c r="A1931" s="1">
        <v>50570</v>
      </c>
      <c r="B1931" t="s">
        <v>10</v>
      </c>
      <c r="C1931">
        <v>19.399999999999999</v>
      </c>
      <c r="D1931">
        <v>0</v>
      </c>
      <c r="E1931" s="2">
        <f>C1931*D1931 / 100</f>
        <v>0</v>
      </c>
      <c r="F1931">
        <f>IF(F1930 &lt; 7, F1930 +1,1)</f>
        <v>5</v>
      </c>
      <c r="G1931" t="str">
        <f t="shared" si="30"/>
        <v/>
      </c>
    </row>
    <row r="1932" spans="1:7">
      <c r="A1932" s="1">
        <v>50571</v>
      </c>
      <c r="B1932" t="s">
        <v>36</v>
      </c>
      <c r="C1932">
        <v>26.5</v>
      </c>
      <c r="D1932">
        <v>0</v>
      </c>
      <c r="E1932" s="2">
        <f>C1932*D1932 / 100</f>
        <v>0</v>
      </c>
      <c r="F1932">
        <f>IF(F1931 &lt; 7, F1931 +1,1)</f>
        <v>6</v>
      </c>
      <c r="G1932" t="str">
        <f t="shared" si="30"/>
        <v/>
      </c>
    </row>
    <row r="1933" spans="1:7">
      <c r="A1933" s="1">
        <v>50572</v>
      </c>
      <c r="B1933" t="s">
        <v>36</v>
      </c>
      <c r="C1933">
        <v>28.3</v>
      </c>
      <c r="D1933">
        <v>14.4</v>
      </c>
      <c r="E1933" s="2">
        <f>C1933*D1933 / 100</f>
        <v>4.0752000000000006</v>
      </c>
      <c r="F1933">
        <f>IF(F1932 &lt; 7, F1932 +1,1)</f>
        <v>7</v>
      </c>
      <c r="G1933">
        <f t="shared" si="30"/>
        <v>154.4</v>
      </c>
    </row>
    <row r="1934" spans="1:7">
      <c r="A1934" s="1">
        <v>50573</v>
      </c>
      <c r="B1934" t="s">
        <v>14</v>
      </c>
      <c r="C1934">
        <v>19.8</v>
      </c>
      <c r="D1934">
        <v>0</v>
      </c>
      <c r="E1934" s="2">
        <f>C1934*D1934 / 100</f>
        <v>0</v>
      </c>
      <c r="F1934">
        <f>IF(F1933 &lt; 7, F1933 +1,1)</f>
        <v>1</v>
      </c>
      <c r="G1934" t="str">
        <f t="shared" si="30"/>
        <v/>
      </c>
    </row>
    <row r="1935" spans="1:7">
      <c r="A1935" s="1">
        <v>50574</v>
      </c>
      <c r="B1935" t="s">
        <v>21</v>
      </c>
      <c r="C1935">
        <v>16</v>
      </c>
      <c r="D1935">
        <v>28.7</v>
      </c>
      <c r="E1935" s="2">
        <f>C1935*D1935 / 100</f>
        <v>4.5919999999999996</v>
      </c>
      <c r="F1935">
        <f>IF(F1934 &lt; 7, F1934 +1,1)</f>
        <v>2</v>
      </c>
      <c r="G1935" t="str">
        <f t="shared" si="30"/>
        <v/>
      </c>
    </row>
    <row r="1936" spans="1:7">
      <c r="A1936" s="1">
        <v>50575</v>
      </c>
      <c r="B1936" t="s">
        <v>36</v>
      </c>
      <c r="C1936">
        <v>14.5</v>
      </c>
      <c r="D1936">
        <v>12</v>
      </c>
      <c r="E1936" s="2">
        <f>C1936*D1936 / 100</f>
        <v>1.74</v>
      </c>
      <c r="F1936">
        <f>IF(F1935 &lt; 7, F1935 +1,1)</f>
        <v>3</v>
      </c>
      <c r="G1936" t="str">
        <f t="shared" si="30"/>
        <v/>
      </c>
    </row>
    <row r="1937" spans="1:7">
      <c r="A1937" s="1">
        <v>50576</v>
      </c>
      <c r="B1937" t="s">
        <v>33</v>
      </c>
      <c r="C1937">
        <v>14.3</v>
      </c>
      <c r="D1937">
        <v>13</v>
      </c>
      <c r="E1937" s="2">
        <f>C1937*D1937 / 100</f>
        <v>1.859</v>
      </c>
      <c r="F1937">
        <f>IF(F1936 &lt; 7, F1936 +1,1)</f>
        <v>4</v>
      </c>
      <c r="G1937" t="str">
        <f t="shared" si="30"/>
        <v/>
      </c>
    </row>
    <row r="1938" spans="1:7">
      <c r="A1938" s="1">
        <v>50577</v>
      </c>
      <c r="B1938" t="s">
        <v>29</v>
      </c>
      <c r="C1938">
        <v>12.7</v>
      </c>
      <c r="D1938">
        <v>10.7</v>
      </c>
      <c r="E1938" s="2">
        <f>C1938*D1938 / 100</f>
        <v>1.3588999999999998</v>
      </c>
      <c r="F1938">
        <f>IF(F1937 &lt; 7, F1937 +1,1)</f>
        <v>5</v>
      </c>
      <c r="G1938" t="str">
        <f t="shared" si="30"/>
        <v/>
      </c>
    </row>
    <row r="1939" spans="1:7">
      <c r="A1939" s="1">
        <v>50578</v>
      </c>
      <c r="B1939" t="s">
        <v>24</v>
      </c>
      <c r="C1939">
        <v>12.6</v>
      </c>
      <c r="D1939">
        <v>0</v>
      </c>
      <c r="E1939" s="2">
        <f>C1939*D1939 / 100</f>
        <v>0</v>
      </c>
      <c r="F1939">
        <f>IF(F1938 &lt; 7, F1938 +1,1)</f>
        <v>6</v>
      </c>
      <c r="G1939" t="str">
        <f t="shared" si="30"/>
        <v/>
      </c>
    </row>
    <row r="1940" spans="1:7">
      <c r="A1940" s="1">
        <v>50579</v>
      </c>
      <c r="B1940" t="s">
        <v>12</v>
      </c>
      <c r="C1940">
        <v>19.899999999999999</v>
      </c>
      <c r="D1940">
        <v>6.6</v>
      </c>
      <c r="E1940" s="2">
        <f>C1940*D1940 / 100</f>
        <v>1.3133999999999997</v>
      </c>
      <c r="F1940">
        <f>IF(F1939 &lt; 7, F1939 +1,1)</f>
        <v>7</v>
      </c>
      <c r="G1940">
        <f t="shared" si="30"/>
        <v>109.79999999999998</v>
      </c>
    </row>
    <row r="1941" spans="1:7">
      <c r="A1941" s="1">
        <v>50580</v>
      </c>
      <c r="B1941" t="s">
        <v>16</v>
      </c>
      <c r="C1941">
        <v>27.4</v>
      </c>
      <c r="D1941">
        <v>6.6</v>
      </c>
      <c r="E1941" s="2">
        <f>C1941*D1941 / 100</f>
        <v>1.8083999999999998</v>
      </c>
      <c r="F1941">
        <f>IF(F1940 &lt; 7, F1940 +1,1)</f>
        <v>1</v>
      </c>
      <c r="G1941" t="str">
        <f t="shared" si="30"/>
        <v/>
      </c>
    </row>
    <row r="1942" spans="1:7">
      <c r="A1942" s="1">
        <v>50581</v>
      </c>
      <c r="B1942" t="s">
        <v>36</v>
      </c>
      <c r="C1942">
        <v>27.4</v>
      </c>
      <c r="D1942">
        <v>0</v>
      </c>
      <c r="E1942" s="2">
        <f>C1942*D1942 / 100</f>
        <v>0</v>
      </c>
      <c r="F1942">
        <f>IF(F1941 &lt; 7, F1941 +1,1)</f>
        <v>2</v>
      </c>
      <c r="G1942" t="str">
        <f t="shared" si="30"/>
        <v/>
      </c>
    </row>
    <row r="1943" spans="1:7">
      <c r="A1943" s="1">
        <v>50582</v>
      </c>
      <c r="B1943" t="s">
        <v>5</v>
      </c>
      <c r="C1943">
        <v>11.2</v>
      </c>
      <c r="D1943">
        <v>0.3</v>
      </c>
      <c r="E1943" s="2">
        <f>C1943*D1943 / 100</f>
        <v>3.3599999999999998E-2</v>
      </c>
      <c r="F1943">
        <f>IF(F1942 &lt; 7, F1942 +1,1)</f>
        <v>3</v>
      </c>
      <c r="G1943" t="str">
        <f t="shared" si="30"/>
        <v/>
      </c>
    </row>
    <row r="1944" spans="1:7">
      <c r="A1944" s="1">
        <v>50583</v>
      </c>
      <c r="B1944" t="s">
        <v>9</v>
      </c>
      <c r="C1944">
        <v>19.899999999999999</v>
      </c>
      <c r="D1944">
        <v>19.399999999999999</v>
      </c>
      <c r="E1944" s="2">
        <f>C1944*D1944 / 100</f>
        <v>3.8605999999999994</v>
      </c>
      <c r="F1944">
        <f>IF(F1943 &lt; 7, F1943 +1,1)</f>
        <v>4</v>
      </c>
      <c r="G1944" t="str">
        <f t="shared" si="30"/>
        <v/>
      </c>
    </row>
    <row r="1945" spans="1:7">
      <c r="A1945" s="1">
        <v>50584</v>
      </c>
      <c r="B1945" t="s">
        <v>15</v>
      </c>
      <c r="C1945">
        <v>13</v>
      </c>
      <c r="D1945">
        <v>0.4</v>
      </c>
      <c r="E1945" s="2">
        <f>C1945*D1945 / 100</f>
        <v>5.2000000000000005E-2</v>
      </c>
      <c r="F1945">
        <f>IF(F1944 &lt; 7, F1944 +1,1)</f>
        <v>5</v>
      </c>
      <c r="G1945" t="str">
        <f t="shared" si="30"/>
        <v/>
      </c>
    </row>
    <row r="1946" spans="1:7">
      <c r="A1946" s="1">
        <v>50585</v>
      </c>
      <c r="B1946" t="s">
        <v>29</v>
      </c>
      <c r="C1946">
        <v>25.4</v>
      </c>
      <c r="D1946">
        <v>12.4</v>
      </c>
      <c r="E1946" s="2">
        <f>C1946*D1946 / 100</f>
        <v>3.1496</v>
      </c>
      <c r="F1946">
        <f>IF(F1945 &lt; 7, F1945 +1,1)</f>
        <v>6</v>
      </c>
      <c r="G1946" t="str">
        <f t="shared" si="30"/>
        <v/>
      </c>
    </row>
    <row r="1947" spans="1:7">
      <c r="A1947" s="1">
        <v>50586</v>
      </c>
      <c r="B1947" t="s">
        <v>26</v>
      </c>
      <c r="C1947">
        <v>23.5</v>
      </c>
      <c r="D1947">
        <v>0.7</v>
      </c>
      <c r="E1947" s="2">
        <f>C1947*D1947 / 100</f>
        <v>0.16449999999999998</v>
      </c>
      <c r="F1947">
        <f>IF(F1946 &lt; 7, F1946 +1,1)</f>
        <v>7</v>
      </c>
      <c r="G1947">
        <f t="shared" si="30"/>
        <v>147.80000000000001</v>
      </c>
    </row>
    <row r="1948" spans="1:7">
      <c r="A1948" s="1">
        <v>50587</v>
      </c>
      <c r="B1948" t="s">
        <v>24</v>
      </c>
      <c r="C1948">
        <v>16</v>
      </c>
      <c r="D1948">
        <v>0.1</v>
      </c>
      <c r="E1948" s="2">
        <f>C1948*D1948 / 100</f>
        <v>1.6E-2</v>
      </c>
      <c r="F1948">
        <f>IF(F1947 &lt; 7, F1947 +1,1)</f>
        <v>1</v>
      </c>
      <c r="G1948" t="str">
        <f t="shared" si="30"/>
        <v/>
      </c>
    </row>
    <row r="1949" spans="1:7">
      <c r="A1949" s="1">
        <v>50588</v>
      </c>
      <c r="B1949" t="s">
        <v>30</v>
      </c>
      <c r="C1949">
        <v>25</v>
      </c>
      <c r="D1949">
        <v>11.7</v>
      </c>
      <c r="E1949" s="2">
        <f>C1949*D1949 / 100</f>
        <v>2.9249999999999998</v>
      </c>
      <c r="F1949">
        <f>IF(F1948 &lt; 7, F1948 +1,1)</f>
        <v>2</v>
      </c>
      <c r="G1949" t="str">
        <f t="shared" si="30"/>
        <v/>
      </c>
    </row>
    <row r="1950" spans="1:7">
      <c r="A1950" s="1">
        <v>50589</v>
      </c>
      <c r="B1950" t="s">
        <v>20</v>
      </c>
      <c r="C1950">
        <v>22.2</v>
      </c>
      <c r="D1950">
        <v>0.9</v>
      </c>
      <c r="E1950" s="2">
        <f>C1950*D1950 / 100</f>
        <v>0.19980000000000001</v>
      </c>
      <c r="F1950">
        <f>IF(F1949 &lt; 7, F1949 +1,1)</f>
        <v>3</v>
      </c>
      <c r="G1950" t="str">
        <f t="shared" si="30"/>
        <v/>
      </c>
    </row>
    <row r="1951" spans="1:7">
      <c r="A1951" s="1">
        <v>50590</v>
      </c>
      <c r="B1951" t="s">
        <v>13</v>
      </c>
      <c r="C1951">
        <v>29.6</v>
      </c>
      <c r="D1951">
        <v>0</v>
      </c>
      <c r="E1951" s="2">
        <f>C1951*D1951 / 100</f>
        <v>0</v>
      </c>
      <c r="F1951">
        <f>IF(F1950 &lt; 7, F1950 +1,1)</f>
        <v>4</v>
      </c>
      <c r="G1951" t="str">
        <f t="shared" si="30"/>
        <v/>
      </c>
    </row>
    <row r="1952" spans="1:7">
      <c r="A1952" s="1">
        <v>50591</v>
      </c>
      <c r="B1952" t="s">
        <v>21</v>
      </c>
      <c r="C1952">
        <v>10.1</v>
      </c>
      <c r="D1952">
        <v>0</v>
      </c>
      <c r="E1952" s="2">
        <f>C1952*D1952 / 100</f>
        <v>0</v>
      </c>
      <c r="F1952">
        <f>IF(F1951 &lt; 7, F1951 +1,1)</f>
        <v>5</v>
      </c>
      <c r="G1952" t="str">
        <f t="shared" si="30"/>
        <v/>
      </c>
    </row>
    <row r="1953" spans="1:7">
      <c r="A1953" s="1">
        <v>50592</v>
      </c>
      <c r="B1953" t="s">
        <v>26</v>
      </c>
      <c r="C1953">
        <v>26.3</v>
      </c>
      <c r="D1953">
        <v>6.7</v>
      </c>
      <c r="E1953" s="2">
        <f>C1953*D1953 / 100</f>
        <v>1.7621</v>
      </c>
      <c r="F1953">
        <f>IF(F1952 &lt; 7, F1952 +1,1)</f>
        <v>6</v>
      </c>
      <c r="G1953" t="str">
        <f t="shared" si="30"/>
        <v/>
      </c>
    </row>
    <row r="1954" spans="1:7">
      <c r="A1954" s="1">
        <v>50593</v>
      </c>
      <c r="B1954" t="s">
        <v>21</v>
      </c>
      <c r="C1954">
        <v>27.3</v>
      </c>
      <c r="D1954">
        <v>15.3</v>
      </c>
      <c r="E1954" s="2">
        <f>C1954*D1954 / 100</f>
        <v>4.1769000000000007</v>
      </c>
      <c r="F1954">
        <f>IF(F1953 &lt; 7, F1953 +1,1)</f>
        <v>7</v>
      </c>
      <c r="G1954">
        <f t="shared" si="30"/>
        <v>156.50000000000003</v>
      </c>
    </row>
    <row r="1955" spans="1:7">
      <c r="A1955" s="1">
        <v>50594</v>
      </c>
      <c r="B1955" t="s">
        <v>9</v>
      </c>
      <c r="C1955">
        <v>27.8</v>
      </c>
      <c r="D1955">
        <v>0</v>
      </c>
      <c r="E1955" s="2">
        <f>C1955*D1955 / 100</f>
        <v>0</v>
      </c>
      <c r="F1955">
        <f>IF(F1954 &lt; 7, F1954 +1,1)</f>
        <v>1</v>
      </c>
      <c r="G1955" t="str">
        <f t="shared" si="30"/>
        <v/>
      </c>
    </row>
    <row r="1956" spans="1:7">
      <c r="A1956" s="1">
        <v>50595</v>
      </c>
      <c r="B1956" t="s">
        <v>30</v>
      </c>
      <c r="C1956">
        <v>16.7</v>
      </c>
      <c r="D1956">
        <v>4.9000000000000004</v>
      </c>
      <c r="E1956" s="2">
        <f>C1956*D1956 / 100</f>
        <v>0.81830000000000003</v>
      </c>
      <c r="F1956">
        <f>IF(F1955 &lt; 7, F1955 +1,1)</f>
        <v>2</v>
      </c>
      <c r="G1956" t="str">
        <f t="shared" si="30"/>
        <v/>
      </c>
    </row>
    <row r="1957" spans="1:7">
      <c r="A1957" s="1">
        <v>50596</v>
      </c>
      <c r="B1957" t="s">
        <v>33</v>
      </c>
      <c r="C1957">
        <v>15</v>
      </c>
      <c r="D1957">
        <v>9.4</v>
      </c>
      <c r="E1957" s="2">
        <f>C1957*D1957 / 100</f>
        <v>1.41</v>
      </c>
      <c r="F1957">
        <f>IF(F1956 &lt; 7, F1956 +1,1)</f>
        <v>3</v>
      </c>
      <c r="G1957" t="str">
        <f t="shared" si="30"/>
        <v/>
      </c>
    </row>
    <row r="1958" spans="1:7">
      <c r="A1958" s="1">
        <v>50597</v>
      </c>
      <c r="B1958" t="s">
        <v>21</v>
      </c>
      <c r="C1958">
        <v>10.4</v>
      </c>
      <c r="D1958">
        <v>28.5</v>
      </c>
      <c r="E1958" s="2">
        <f>C1958*D1958 / 100</f>
        <v>2.9640000000000004</v>
      </c>
      <c r="F1958">
        <f>IF(F1957 &lt; 7, F1957 +1,1)</f>
        <v>4</v>
      </c>
      <c r="G1958" t="str">
        <f t="shared" si="30"/>
        <v/>
      </c>
    </row>
    <row r="1959" spans="1:7">
      <c r="A1959" s="1">
        <v>50598</v>
      </c>
      <c r="B1959" t="s">
        <v>33</v>
      </c>
      <c r="C1959">
        <v>18.100000000000001</v>
      </c>
      <c r="D1959">
        <v>9.6</v>
      </c>
      <c r="E1959" s="2">
        <f>C1959*D1959 / 100</f>
        <v>1.7376000000000003</v>
      </c>
      <c r="F1959">
        <f>IF(F1958 &lt; 7, F1958 +1,1)</f>
        <v>5</v>
      </c>
      <c r="G1959" t="str">
        <f t="shared" si="30"/>
        <v/>
      </c>
    </row>
    <row r="1960" spans="1:7">
      <c r="A1960" s="1">
        <v>50599</v>
      </c>
      <c r="B1960" t="s">
        <v>32</v>
      </c>
      <c r="C1960">
        <v>26.7</v>
      </c>
      <c r="D1960">
        <v>1.5</v>
      </c>
      <c r="E1960" s="2">
        <f>C1960*D1960 / 100</f>
        <v>0.40049999999999997</v>
      </c>
      <c r="F1960">
        <f>IF(F1959 &lt; 7, F1959 +1,1)</f>
        <v>6</v>
      </c>
      <c r="G1960" t="str">
        <f t="shared" si="30"/>
        <v/>
      </c>
    </row>
    <row r="1961" spans="1:7">
      <c r="A1961" s="1">
        <v>50600</v>
      </c>
      <c r="B1961" t="s">
        <v>19</v>
      </c>
      <c r="C1961">
        <v>22.9</v>
      </c>
      <c r="D1961">
        <v>8.9</v>
      </c>
      <c r="E1961" s="2">
        <f>C1961*D1961 / 100</f>
        <v>2.0381</v>
      </c>
      <c r="F1961">
        <f>IF(F1960 &lt; 7, F1960 +1,1)</f>
        <v>7</v>
      </c>
      <c r="G1961">
        <f t="shared" si="30"/>
        <v>137.6</v>
      </c>
    </row>
    <row r="1962" spans="1:7">
      <c r="A1962" s="1">
        <v>50601</v>
      </c>
      <c r="B1962" t="s">
        <v>33</v>
      </c>
      <c r="C1962">
        <v>29.3</v>
      </c>
      <c r="D1962">
        <v>0</v>
      </c>
      <c r="E1962" s="2">
        <f>C1962*D1962 / 100</f>
        <v>0</v>
      </c>
      <c r="F1962">
        <f>IF(F1961 &lt; 7, F1961 +1,1)</f>
        <v>1</v>
      </c>
      <c r="G1962" t="str">
        <f t="shared" si="30"/>
        <v/>
      </c>
    </row>
    <row r="1963" spans="1:7">
      <c r="A1963" s="1">
        <v>50602</v>
      </c>
      <c r="B1963" t="s">
        <v>16</v>
      </c>
      <c r="C1963">
        <v>26.4</v>
      </c>
      <c r="D1963">
        <v>3.2</v>
      </c>
      <c r="E1963" s="2">
        <f>C1963*D1963 / 100</f>
        <v>0.8448</v>
      </c>
      <c r="F1963">
        <f>IF(F1962 &lt; 7, F1962 +1,1)</f>
        <v>2</v>
      </c>
      <c r="G1963" t="str">
        <f t="shared" si="30"/>
        <v/>
      </c>
    </row>
    <row r="1964" spans="1:7">
      <c r="A1964" s="1">
        <v>50603</v>
      </c>
      <c r="B1964" t="s">
        <v>29</v>
      </c>
      <c r="C1964">
        <v>20</v>
      </c>
      <c r="D1964">
        <v>7.3</v>
      </c>
      <c r="E1964" s="2">
        <f>C1964*D1964 / 100</f>
        <v>1.46</v>
      </c>
      <c r="F1964">
        <f>IF(F1963 &lt; 7, F1963 +1,1)</f>
        <v>3</v>
      </c>
      <c r="G1964" t="str">
        <f t="shared" si="30"/>
        <v/>
      </c>
    </row>
    <row r="1965" spans="1:7">
      <c r="A1965" s="1">
        <v>50604</v>
      </c>
      <c r="B1965" t="s">
        <v>9</v>
      </c>
      <c r="C1965">
        <v>17.100000000000001</v>
      </c>
      <c r="D1965">
        <v>0</v>
      </c>
      <c r="E1965" s="2">
        <f>C1965*D1965 / 100</f>
        <v>0</v>
      </c>
      <c r="F1965">
        <f>IF(F1964 &lt; 7, F1964 +1,1)</f>
        <v>4</v>
      </c>
      <c r="G1965" t="str">
        <f t="shared" si="30"/>
        <v/>
      </c>
    </row>
    <row r="1966" spans="1:7">
      <c r="A1966" s="1">
        <v>50605</v>
      </c>
      <c r="B1966" t="s">
        <v>10</v>
      </c>
      <c r="C1966">
        <v>18.8</v>
      </c>
      <c r="D1966">
        <v>0</v>
      </c>
      <c r="E1966" s="2">
        <f>C1966*D1966 / 100</f>
        <v>0</v>
      </c>
      <c r="F1966">
        <f>IF(F1965 &lt; 7, F1965 +1,1)</f>
        <v>5</v>
      </c>
      <c r="G1966" t="str">
        <f t="shared" si="30"/>
        <v/>
      </c>
    </row>
    <row r="1967" spans="1:7">
      <c r="A1967" s="1">
        <v>50606</v>
      </c>
      <c r="B1967" t="s">
        <v>19</v>
      </c>
      <c r="C1967">
        <v>12.6</v>
      </c>
      <c r="D1967">
        <v>4.4000000000000004</v>
      </c>
      <c r="E1967" s="2">
        <f>C1967*D1967 / 100</f>
        <v>0.5544</v>
      </c>
      <c r="F1967">
        <f>IF(F1966 &lt; 7, F1966 +1,1)</f>
        <v>6</v>
      </c>
      <c r="G1967" t="str">
        <f t="shared" si="30"/>
        <v/>
      </c>
    </row>
    <row r="1968" spans="1:7">
      <c r="A1968" s="1">
        <v>50607</v>
      </c>
      <c r="B1968" t="s">
        <v>24</v>
      </c>
      <c r="C1968">
        <v>24</v>
      </c>
      <c r="D1968">
        <v>0</v>
      </c>
      <c r="E1968" s="2">
        <f>C1968*D1968 / 100</f>
        <v>0</v>
      </c>
      <c r="F1968">
        <f>IF(F1967 &lt; 7, F1967 +1,1)</f>
        <v>7</v>
      </c>
      <c r="G1968">
        <f t="shared" si="30"/>
        <v>148.19999999999999</v>
      </c>
    </row>
    <row r="1969" spans="1:7">
      <c r="A1969" s="1">
        <v>50608</v>
      </c>
      <c r="B1969" t="s">
        <v>36</v>
      </c>
      <c r="C1969">
        <v>13.4</v>
      </c>
      <c r="D1969">
        <v>35.6</v>
      </c>
      <c r="E1969" s="2">
        <f>C1969*D1969 / 100</f>
        <v>4.7704000000000004</v>
      </c>
      <c r="F1969">
        <f>IF(F1968 &lt; 7, F1968 +1,1)</f>
        <v>1</v>
      </c>
      <c r="G1969" t="str">
        <f t="shared" si="30"/>
        <v/>
      </c>
    </row>
    <row r="1970" spans="1:7">
      <c r="A1970" s="1">
        <v>50609</v>
      </c>
      <c r="B1970" t="s">
        <v>21</v>
      </c>
      <c r="C1970">
        <v>25.7</v>
      </c>
      <c r="D1970">
        <v>21.1</v>
      </c>
      <c r="E1970" s="2">
        <f>C1970*D1970 / 100</f>
        <v>5.4226999999999999</v>
      </c>
      <c r="F1970">
        <f>IF(F1969 &lt; 7, F1969 +1,1)</f>
        <v>2</v>
      </c>
      <c r="G1970" t="str">
        <f t="shared" si="30"/>
        <v/>
      </c>
    </row>
    <row r="1971" spans="1:7">
      <c r="A1971" s="1">
        <v>50610</v>
      </c>
      <c r="B1971" t="s">
        <v>28</v>
      </c>
      <c r="C1971">
        <v>24.9</v>
      </c>
      <c r="D1971">
        <v>2</v>
      </c>
      <c r="E1971" s="2">
        <f>C1971*D1971 / 100</f>
        <v>0.498</v>
      </c>
      <c r="F1971">
        <f>IF(F1970 &lt; 7, F1970 +1,1)</f>
        <v>3</v>
      </c>
      <c r="G1971" t="str">
        <f t="shared" si="30"/>
        <v/>
      </c>
    </row>
    <row r="1972" spans="1:7">
      <c r="A1972" s="1">
        <v>50611</v>
      </c>
      <c r="B1972" t="s">
        <v>9</v>
      </c>
      <c r="C1972">
        <v>12.5</v>
      </c>
      <c r="D1972">
        <v>0</v>
      </c>
      <c r="E1972" s="2">
        <f>C1972*D1972 / 100</f>
        <v>0</v>
      </c>
      <c r="F1972">
        <f>IF(F1971 &lt; 7, F1971 +1,1)</f>
        <v>4</v>
      </c>
      <c r="G1972" t="str">
        <f t="shared" si="30"/>
        <v/>
      </c>
    </row>
    <row r="1973" spans="1:7">
      <c r="A1973" s="1">
        <v>50612</v>
      </c>
      <c r="B1973" t="s">
        <v>21</v>
      </c>
      <c r="C1973">
        <v>21.8</v>
      </c>
      <c r="D1973">
        <v>0</v>
      </c>
      <c r="E1973" s="2">
        <f>C1973*D1973 / 100</f>
        <v>0</v>
      </c>
      <c r="F1973">
        <f>IF(F1972 &lt; 7, F1972 +1,1)</f>
        <v>5</v>
      </c>
      <c r="G1973" t="str">
        <f t="shared" si="30"/>
        <v/>
      </c>
    </row>
    <row r="1974" spans="1:7">
      <c r="A1974" s="1">
        <v>50613</v>
      </c>
      <c r="B1974" t="s">
        <v>10</v>
      </c>
      <c r="C1974">
        <v>15.8</v>
      </c>
      <c r="D1974">
        <v>6.7</v>
      </c>
      <c r="E1974" s="2">
        <f>C1974*D1974 / 100</f>
        <v>1.0586000000000002</v>
      </c>
      <c r="F1974">
        <f>IF(F1973 &lt; 7, F1973 +1,1)</f>
        <v>6</v>
      </c>
      <c r="G1974" t="str">
        <f t="shared" si="30"/>
        <v/>
      </c>
    </row>
    <row r="1975" spans="1:7">
      <c r="A1975" s="1">
        <v>50614</v>
      </c>
      <c r="B1975" t="s">
        <v>34</v>
      </c>
      <c r="C1975">
        <v>13.9</v>
      </c>
      <c r="D1975">
        <v>0</v>
      </c>
      <c r="E1975" s="2">
        <f>C1975*D1975 / 100</f>
        <v>0</v>
      </c>
      <c r="F1975">
        <f>IF(F1974 &lt; 7, F1974 +1,1)</f>
        <v>7</v>
      </c>
      <c r="G1975">
        <f t="shared" si="30"/>
        <v>128</v>
      </c>
    </row>
    <row r="1976" spans="1:7">
      <c r="A1976" s="1">
        <v>50615</v>
      </c>
      <c r="B1976" t="s">
        <v>18</v>
      </c>
      <c r="C1976">
        <v>12.2</v>
      </c>
      <c r="D1976">
        <v>4.4000000000000004</v>
      </c>
      <c r="E1976" s="2">
        <f>C1976*D1976 / 100</f>
        <v>0.53679999999999994</v>
      </c>
      <c r="F1976">
        <f>IF(F1975 &lt; 7, F1975 +1,1)</f>
        <v>1</v>
      </c>
      <c r="G1976" t="str">
        <f t="shared" si="30"/>
        <v/>
      </c>
    </row>
    <row r="1977" spans="1:7">
      <c r="A1977" s="1">
        <v>50616</v>
      </c>
      <c r="B1977" t="s">
        <v>9</v>
      </c>
      <c r="C1977">
        <v>12.2</v>
      </c>
      <c r="D1977">
        <v>0</v>
      </c>
      <c r="E1977" s="2">
        <f>C1977*D1977 / 100</f>
        <v>0</v>
      </c>
      <c r="F1977">
        <f>IF(F1976 &lt; 7, F1976 +1,1)</f>
        <v>2</v>
      </c>
      <c r="G1977" t="str">
        <f t="shared" si="30"/>
        <v/>
      </c>
    </row>
    <row r="1978" spans="1:7">
      <c r="A1978" s="1">
        <v>50617</v>
      </c>
      <c r="B1978" t="s">
        <v>36</v>
      </c>
      <c r="C1978">
        <v>13.7</v>
      </c>
      <c r="D1978">
        <v>28</v>
      </c>
      <c r="E1978" s="2">
        <f>C1978*D1978 / 100</f>
        <v>3.8359999999999999</v>
      </c>
      <c r="F1978">
        <f>IF(F1977 &lt; 7, F1977 +1,1)</f>
        <v>3</v>
      </c>
      <c r="G1978" t="str">
        <f t="shared" si="30"/>
        <v/>
      </c>
    </row>
    <row r="1979" spans="1:7">
      <c r="A1979" s="1">
        <v>50618</v>
      </c>
      <c r="B1979" t="s">
        <v>23</v>
      </c>
      <c r="C1979">
        <v>27.9</v>
      </c>
      <c r="D1979">
        <v>0</v>
      </c>
      <c r="E1979" s="2">
        <f>C1979*D1979 / 100</f>
        <v>0</v>
      </c>
      <c r="F1979">
        <f>IF(F1978 &lt; 7, F1978 +1,1)</f>
        <v>4</v>
      </c>
      <c r="G1979" t="str">
        <f t="shared" si="30"/>
        <v/>
      </c>
    </row>
    <row r="1980" spans="1:7">
      <c r="A1980" s="1">
        <v>50619</v>
      </c>
      <c r="B1980" t="s">
        <v>19</v>
      </c>
      <c r="C1980">
        <v>25.6</v>
      </c>
      <c r="D1980">
        <v>1.7</v>
      </c>
      <c r="E1980" s="2">
        <f>C1980*D1980 / 100</f>
        <v>0.43520000000000003</v>
      </c>
      <c r="F1980">
        <f>IF(F1979 &lt; 7, F1979 +1,1)</f>
        <v>5</v>
      </c>
      <c r="G1980" t="str">
        <f t="shared" si="30"/>
        <v/>
      </c>
    </row>
    <row r="1981" spans="1:7">
      <c r="A1981" s="1">
        <v>50620</v>
      </c>
      <c r="B1981" t="s">
        <v>11</v>
      </c>
      <c r="C1981">
        <v>11.7</v>
      </c>
      <c r="D1981">
        <v>4.5999999999999996</v>
      </c>
      <c r="E1981" s="2">
        <f>C1981*D1981 / 100</f>
        <v>0.5381999999999999</v>
      </c>
      <c r="F1981">
        <f>IF(F1980 &lt; 7, F1980 +1,1)</f>
        <v>6</v>
      </c>
      <c r="G1981" t="str">
        <f t="shared" si="30"/>
        <v/>
      </c>
    </row>
    <row r="1982" spans="1:7">
      <c r="A1982" s="1">
        <v>50621</v>
      </c>
      <c r="B1982" t="s">
        <v>22</v>
      </c>
      <c r="C1982">
        <v>27.3</v>
      </c>
      <c r="D1982">
        <v>0</v>
      </c>
      <c r="E1982" s="2">
        <f>C1982*D1982 / 100</f>
        <v>0</v>
      </c>
      <c r="F1982">
        <f>IF(F1981 &lt; 7, F1981 +1,1)</f>
        <v>7</v>
      </c>
      <c r="G1982">
        <f t="shared" si="30"/>
        <v>130.6</v>
      </c>
    </row>
    <row r="1983" spans="1:7">
      <c r="A1983" s="1">
        <v>50622</v>
      </c>
      <c r="B1983" t="s">
        <v>9</v>
      </c>
      <c r="C1983">
        <v>25.6</v>
      </c>
      <c r="D1983">
        <v>18.2</v>
      </c>
      <c r="E1983" s="2">
        <f>C1983*D1983 / 100</f>
        <v>4.6592000000000002</v>
      </c>
      <c r="F1983">
        <f>IF(F1982 &lt; 7, F1982 +1,1)</f>
        <v>1</v>
      </c>
      <c r="G1983" t="str">
        <f t="shared" si="30"/>
        <v/>
      </c>
    </row>
    <row r="1984" spans="1:7">
      <c r="A1984" s="1">
        <v>50623</v>
      </c>
      <c r="B1984" t="s">
        <v>5</v>
      </c>
      <c r="C1984">
        <v>23.6</v>
      </c>
      <c r="D1984">
        <v>0.1</v>
      </c>
      <c r="E1984" s="2">
        <f>C1984*D1984 / 100</f>
        <v>2.3600000000000003E-2</v>
      </c>
      <c r="F1984">
        <f>IF(F1983 &lt; 7, F1983 +1,1)</f>
        <v>2</v>
      </c>
      <c r="G1984" t="str">
        <f t="shared" si="30"/>
        <v/>
      </c>
    </row>
    <row r="1985" spans="1:7">
      <c r="A1985" s="1">
        <v>50624</v>
      </c>
      <c r="B1985" t="s">
        <v>21</v>
      </c>
      <c r="C1985">
        <v>14.6</v>
      </c>
      <c r="D1985">
        <v>0</v>
      </c>
      <c r="E1985" s="2">
        <f>C1985*D1985 / 100</f>
        <v>0</v>
      </c>
      <c r="F1985">
        <f>IF(F1984 &lt; 7, F1984 +1,1)</f>
        <v>3</v>
      </c>
      <c r="G1985" t="str">
        <f t="shared" si="30"/>
        <v/>
      </c>
    </row>
    <row r="1986" spans="1:7">
      <c r="A1986" s="1">
        <v>50625</v>
      </c>
      <c r="B1986" t="s">
        <v>26</v>
      </c>
      <c r="C1986">
        <v>17.399999999999999</v>
      </c>
      <c r="D1986">
        <v>7.8</v>
      </c>
      <c r="E1986" s="2">
        <f>C1986*D1986 / 100</f>
        <v>1.3572</v>
      </c>
      <c r="F1986">
        <f>IF(F1985 &lt; 7, F1985 +1,1)</f>
        <v>4</v>
      </c>
      <c r="G1986" t="str">
        <f t="shared" si="30"/>
        <v/>
      </c>
    </row>
    <row r="1987" spans="1:7">
      <c r="A1987" s="1">
        <v>50626</v>
      </c>
      <c r="B1987" t="s">
        <v>21</v>
      </c>
      <c r="C1987">
        <v>27.4</v>
      </c>
      <c r="D1987">
        <v>0</v>
      </c>
      <c r="E1987" s="2">
        <f>C1987*D1987 / 100</f>
        <v>0</v>
      </c>
      <c r="F1987">
        <f>IF(F1986 &lt; 7, F1986 +1,1)</f>
        <v>5</v>
      </c>
      <c r="G1987" t="str">
        <f t="shared" si="30"/>
        <v/>
      </c>
    </row>
    <row r="1988" spans="1:7">
      <c r="A1988" s="1">
        <v>50627</v>
      </c>
      <c r="B1988" t="s">
        <v>36</v>
      </c>
      <c r="C1988">
        <v>15.2</v>
      </c>
      <c r="D1988">
        <v>5.9</v>
      </c>
      <c r="E1988" s="2">
        <f>C1988*D1988 / 100</f>
        <v>0.89680000000000004</v>
      </c>
      <c r="F1988">
        <f>IF(F1987 &lt; 7, F1987 +1,1)</f>
        <v>6</v>
      </c>
      <c r="G1988" t="str">
        <f t="shared" si="30"/>
        <v/>
      </c>
    </row>
    <row r="1989" spans="1:7">
      <c r="A1989" s="1">
        <v>50628</v>
      </c>
      <c r="B1989" t="s">
        <v>25</v>
      </c>
      <c r="C1989">
        <v>11.6</v>
      </c>
      <c r="D1989">
        <v>0</v>
      </c>
      <c r="E1989" s="2">
        <f>C1989*D1989 / 100</f>
        <v>0</v>
      </c>
      <c r="F1989">
        <f>IF(F1988 &lt; 7, F1988 +1,1)</f>
        <v>7</v>
      </c>
      <c r="G1989">
        <f t="shared" si="30"/>
        <v>135.4</v>
      </c>
    </row>
    <row r="1990" spans="1:7">
      <c r="A1990" s="1">
        <v>50629</v>
      </c>
      <c r="B1990" t="s">
        <v>12</v>
      </c>
      <c r="C1990">
        <v>10.8</v>
      </c>
      <c r="D1990">
        <v>1.6</v>
      </c>
      <c r="E1990" s="2">
        <f>C1990*D1990 / 100</f>
        <v>0.17280000000000001</v>
      </c>
      <c r="F1990">
        <f>IF(F1989 &lt; 7, F1989 +1,1)</f>
        <v>1</v>
      </c>
      <c r="G1990" t="str">
        <f t="shared" si="30"/>
        <v/>
      </c>
    </row>
    <row r="1991" spans="1:7">
      <c r="A1991" s="1">
        <v>50630</v>
      </c>
      <c r="B1991" t="s">
        <v>24</v>
      </c>
      <c r="C1991">
        <v>12</v>
      </c>
      <c r="D1991">
        <v>3.9</v>
      </c>
      <c r="E1991" s="2">
        <f>C1991*D1991 / 100</f>
        <v>0.46799999999999997</v>
      </c>
      <c r="F1991">
        <f>IF(F1990 &lt; 7, F1990 +1,1)</f>
        <v>2</v>
      </c>
      <c r="G1991" t="str">
        <f t="shared" si="30"/>
        <v/>
      </c>
    </row>
    <row r="1992" spans="1:7">
      <c r="A1992" s="1">
        <v>50631</v>
      </c>
      <c r="B1992" t="s">
        <v>12</v>
      </c>
      <c r="C1992">
        <v>14</v>
      </c>
      <c r="D1992">
        <v>5</v>
      </c>
      <c r="E1992" s="2">
        <f>C1992*D1992 / 100</f>
        <v>0.7</v>
      </c>
      <c r="F1992">
        <f>IF(F1991 &lt; 7, F1991 +1,1)</f>
        <v>3</v>
      </c>
      <c r="G1992" t="str">
        <f t="shared" si="30"/>
        <v/>
      </c>
    </row>
    <row r="1993" spans="1:7">
      <c r="A1993" s="1">
        <v>50632</v>
      </c>
      <c r="B1993" t="s">
        <v>36</v>
      </c>
      <c r="C1993">
        <v>26.4</v>
      </c>
      <c r="D1993">
        <v>0</v>
      </c>
      <c r="E1993" s="2">
        <f>C1993*D1993 / 100</f>
        <v>0</v>
      </c>
      <c r="F1993">
        <f>IF(F1992 &lt; 7, F1992 +1,1)</f>
        <v>4</v>
      </c>
      <c r="G1993" t="str">
        <f t="shared" ref="G1993:G2056" si="31">IF(F1993=7, SUM(C1987:C1993), "")</f>
        <v/>
      </c>
    </row>
    <row r="1994" spans="1:7">
      <c r="A1994" s="1">
        <v>50633</v>
      </c>
      <c r="B1994" t="s">
        <v>33</v>
      </c>
      <c r="C1994">
        <v>23</v>
      </c>
      <c r="D1994">
        <v>20.100000000000001</v>
      </c>
      <c r="E1994" s="2">
        <f>C1994*D1994 / 100</f>
        <v>4.6230000000000002</v>
      </c>
      <c r="F1994">
        <f>IF(F1993 &lt; 7, F1993 +1,1)</f>
        <v>5</v>
      </c>
      <c r="G1994" t="str">
        <f t="shared" si="31"/>
        <v/>
      </c>
    </row>
    <row r="1995" spans="1:7">
      <c r="A1995" s="1">
        <v>50634</v>
      </c>
      <c r="B1995" t="s">
        <v>22</v>
      </c>
      <c r="C1995">
        <v>20.5</v>
      </c>
      <c r="D1995">
        <v>1.1000000000000001</v>
      </c>
      <c r="E1995" s="2">
        <f>C1995*D1995 / 100</f>
        <v>0.22550000000000001</v>
      </c>
      <c r="F1995">
        <f>IF(F1994 &lt; 7, F1994 +1,1)</f>
        <v>6</v>
      </c>
      <c r="G1995" t="str">
        <f t="shared" si="31"/>
        <v/>
      </c>
    </row>
    <row r="1996" spans="1:7">
      <c r="A1996" s="1">
        <v>50635</v>
      </c>
      <c r="B1996" t="s">
        <v>11</v>
      </c>
      <c r="C1996">
        <v>15.9</v>
      </c>
      <c r="D1996">
        <v>3.1</v>
      </c>
      <c r="E1996" s="2">
        <f>C1996*D1996 / 100</f>
        <v>0.4929</v>
      </c>
      <c r="F1996">
        <f>IF(F1995 &lt; 7, F1995 +1,1)</f>
        <v>7</v>
      </c>
      <c r="G1996">
        <f t="shared" si="31"/>
        <v>122.6</v>
      </c>
    </row>
    <row r="1997" spans="1:7">
      <c r="A1997" s="1">
        <v>50636</v>
      </c>
      <c r="B1997" t="s">
        <v>21</v>
      </c>
      <c r="C1997">
        <v>20.8</v>
      </c>
      <c r="D1997">
        <v>6.9</v>
      </c>
      <c r="E1997" s="2">
        <f>C1997*D1997 / 100</f>
        <v>1.4352</v>
      </c>
      <c r="F1997">
        <f>IF(F1996 &lt; 7, F1996 +1,1)</f>
        <v>1</v>
      </c>
      <c r="G1997" t="str">
        <f t="shared" si="31"/>
        <v/>
      </c>
    </row>
    <row r="1998" spans="1:7">
      <c r="A1998" s="1">
        <v>50637</v>
      </c>
      <c r="B1998" t="s">
        <v>28</v>
      </c>
      <c r="C1998">
        <v>12.9</v>
      </c>
      <c r="D1998">
        <v>1.5</v>
      </c>
      <c r="E1998" s="2">
        <f>C1998*D1998 / 100</f>
        <v>0.19350000000000001</v>
      </c>
      <c r="F1998">
        <f>IF(F1997 &lt; 7, F1997 +1,1)</f>
        <v>2</v>
      </c>
      <c r="G1998" t="str">
        <f t="shared" si="31"/>
        <v/>
      </c>
    </row>
    <row r="1999" spans="1:7">
      <c r="A1999" s="1">
        <v>50638</v>
      </c>
      <c r="B1999" t="s">
        <v>36</v>
      </c>
      <c r="C1999">
        <v>11.6</v>
      </c>
      <c r="D1999">
        <v>15.8</v>
      </c>
      <c r="E1999" s="2">
        <f>C1999*D1999 / 100</f>
        <v>1.8328</v>
      </c>
      <c r="F1999">
        <f>IF(F1998 &lt; 7, F1998 +1,1)</f>
        <v>3</v>
      </c>
      <c r="G1999" t="str">
        <f t="shared" si="31"/>
        <v/>
      </c>
    </row>
    <row r="2000" spans="1:7">
      <c r="A2000" s="1">
        <v>50639</v>
      </c>
      <c r="B2000" t="s">
        <v>19</v>
      </c>
      <c r="C2000">
        <v>25.6</v>
      </c>
      <c r="D2000">
        <v>0</v>
      </c>
      <c r="E2000" s="2">
        <f>C2000*D2000 / 100</f>
        <v>0</v>
      </c>
      <c r="F2000">
        <f>IF(F1999 &lt; 7, F1999 +1,1)</f>
        <v>4</v>
      </c>
      <c r="G2000" t="str">
        <f t="shared" si="31"/>
        <v/>
      </c>
    </row>
    <row r="2001" spans="1:7">
      <c r="A2001" s="1">
        <v>50640</v>
      </c>
      <c r="B2001" t="s">
        <v>16</v>
      </c>
      <c r="C2001">
        <v>15.7</v>
      </c>
      <c r="D2001">
        <v>6.7</v>
      </c>
      <c r="E2001" s="2">
        <f>C2001*D2001 / 100</f>
        <v>1.0519000000000001</v>
      </c>
      <c r="F2001">
        <f>IF(F2000 &lt; 7, F2000 +1,1)</f>
        <v>5</v>
      </c>
      <c r="G2001" t="str">
        <f t="shared" si="31"/>
        <v/>
      </c>
    </row>
    <row r="2002" spans="1:7">
      <c r="A2002" s="1">
        <v>50641</v>
      </c>
      <c r="B2002" t="s">
        <v>11</v>
      </c>
      <c r="C2002">
        <v>25.5</v>
      </c>
      <c r="D2002">
        <v>0</v>
      </c>
      <c r="E2002" s="2">
        <f>C2002*D2002 / 100</f>
        <v>0</v>
      </c>
      <c r="F2002">
        <f>IF(F2001 &lt; 7, F2001 +1,1)</f>
        <v>6</v>
      </c>
      <c r="G2002" t="str">
        <f t="shared" si="31"/>
        <v/>
      </c>
    </row>
    <row r="2003" spans="1:7">
      <c r="A2003" s="1">
        <v>50642</v>
      </c>
      <c r="B2003" t="s">
        <v>24</v>
      </c>
      <c r="C2003">
        <v>19.5</v>
      </c>
      <c r="D2003">
        <v>3.4</v>
      </c>
      <c r="E2003" s="2">
        <f>C2003*D2003 / 100</f>
        <v>0.66299999999999992</v>
      </c>
      <c r="F2003">
        <f>IF(F2002 &lt; 7, F2002 +1,1)</f>
        <v>7</v>
      </c>
      <c r="G2003">
        <f t="shared" si="31"/>
        <v>131.60000000000002</v>
      </c>
    </row>
    <row r="2004" spans="1:7">
      <c r="A2004" s="1">
        <v>50643</v>
      </c>
      <c r="B2004" t="s">
        <v>35</v>
      </c>
      <c r="C2004">
        <v>14.1</v>
      </c>
      <c r="D2004">
        <v>0</v>
      </c>
      <c r="E2004" s="2">
        <f>C2004*D2004 / 100</f>
        <v>0</v>
      </c>
      <c r="F2004">
        <f>IF(F2003 &lt; 7, F2003 +1,1)</f>
        <v>1</v>
      </c>
      <c r="G2004" t="str">
        <f t="shared" si="31"/>
        <v/>
      </c>
    </row>
    <row r="2005" spans="1:7">
      <c r="A2005" s="1">
        <v>50644</v>
      </c>
      <c r="B2005" t="s">
        <v>30</v>
      </c>
      <c r="C2005">
        <v>26.4</v>
      </c>
      <c r="D2005">
        <v>0</v>
      </c>
      <c r="E2005" s="2">
        <f>C2005*D2005 / 100</f>
        <v>0</v>
      </c>
      <c r="F2005">
        <f>IF(F2004 &lt; 7, F2004 +1,1)</f>
        <v>2</v>
      </c>
      <c r="G2005" t="str">
        <f t="shared" si="31"/>
        <v/>
      </c>
    </row>
    <row r="2006" spans="1:7">
      <c r="A2006" s="1">
        <v>50645</v>
      </c>
      <c r="B2006" t="s">
        <v>33</v>
      </c>
      <c r="C2006">
        <v>11.7</v>
      </c>
      <c r="D2006">
        <v>8.4</v>
      </c>
      <c r="E2006" s="2">
        <f>C2006*D2006 / 100</f>
        <v>0.98280000000000001</v>
      </c>
      <c r="F2006">
        <f>IF(F2005 &lt; 7, F2005 +1,1)</f>
        <v>3</v>
      </c>
      <c r="G2006" t="str">
        <f t="shared" si="31"/>
        <v/>
      </c>
    </row>
    <row r="2007" spans="1:7">
      <c r="A2007" s="1">
        <v>50646</v>
      </c>
      <c r="B2007" t="s">
        <v>35</v>
      </c>
      <c r="C2007">
        <v>28</v>
      </c>
      <c r="D2007">
        <v>0</v>
      </c>
      <c r="E2007" s="2">
        <f>C2007*D2007 / 100</f>
        <v>0</v>
      </c>
      <c r="F2007">
        <f>IF(F2006 &lt; 7, F2006 +1,1)</f>
        <v>4</v>
      </c>
      <c r="G2007" t="str">
        <f t="shared" si="31"/>
        <v/>
      </c>
    </row>
    <row r="2008" spans="1:7">
      <c r="A2008" s="1">
        <v>50647</v>
      </c>
      <c r="B2008" t="s">
        <v>23</v>
      </c>
      <c r="C2008">
        <v>13</v>
      </c>
      <c r="D2008">
        <v>0.1</v>
      </c>
      <c r="E2008" s="2">
        <f>C2008*D2008 / 100</f>
        <v>1.3000000000000001E-2</v>
      </c>
      <c r="F2008">
        <f>IF(F2007 &lt; 7, F2007 +1,1)</f>
        <v>5</v>
      </c>
      <c r="G2008" t="str">
        <f t="shared" si="31"/>
        <v/>
      </c>
    </row>
    <row r="2009" spans="1:7">
      <c r="A2009" s="1">
        <v>50648</v>
      </c>
      <c r="B2009" t="s">
        <v>9</v>
      </c>
      <c r="C2009">
        <v>10.8</v>
      </c>
      <c r="D2009">
        <v>11.3</v>
      </c>
      <c r="E2009" s="2">
        <f>C2009*D2009 / 100</f>
        <v>1.2204000000000002</v>
      </c>
      <c r="F2009">
        <f>IF(F2008 &lt; 7, F2008 +1,1)</f>
        <v>6</v>
      </c>
      <c r="G2009" t="str">
        <f t="shared" si="31"/>
        <v/>
      </c>
    </row>
    <row r="2010" spans="1:7">
      <c r="A2010" s="1">
        <v>50649</v>
      </c>
      <c r="B2010" t="s">
        <v>9</v>
      </c>
      <c r="C2010">
        <v>26.4</v>
      </c>
      <c r="D2010">
        <v>18.7</v>
      </c>
      <c r="E2010" s="2">
        <f>C2010*D2010 / 100</f>
        <v>4.9367999999999999</v>
      </c>
      <c r="F2010">
        <f>IF(F2009 &lt; 7, F2009 +1,1)</f>
        <v>7</v>
      </c>
      <c r="G2010">
        <f t="shared" si="31"/>
        <v>130.4</v>
      </c>
    </row>
    <row r="2011" spans="1:7">
      <c r="A2011" s="1">
        <v>50650</v>
      </c>
      <c r="B2011" t="s">
        <v>36</v>
      </c>
      <c r="C2011">
        <v>26.7</v>
      </c>
      <c r="D2011">
        <v>3.9</v>
      </c>
      <c r="E2011" s="2">
        <f>C2011*D2011 / 100</f>
        <v>1.0412999999999999</v>
      </c>
      <c r="F2011">
        <f>IF(F2010 &lt; 7, F2010 +1,1)</f>
        <v>1</v>
      </c>
      <c r="G2011" t="str">
        <f t="shared" si="31"/>
        <v/>
      </c>
    </row>
    <row r="2012" spans="1:7">
      <c r="A2012" s="1">
        <v>50651</v>
      </c>
      <c r="B2012" t="s">
        <v>9</v>
      </c>
      <c r="C2012">
        <v>11.7</v>
      </c>
      <c r="D2012">
        <v>13</v>
      </c>
      <c r="E2012" s="2">
        <f>C2012*D2012 / 100</f>
        <v>1.5209999999999999</v>
      </c>
      <c r="F2012">
        <f>IF(F2011 &lt; 7, F2011 +1,1)</f>
        <v>2</v>
      </c>
      <c r="G2012" t="str">
        <f t="shared" si="31"/>
        <v/>
      </c>
    </row>
    <row r="2013" spans="1:7">
      <c r="A2013" s="1">
        <v>50652</v>
      </c>
      <c r="B2013" t="s">
        <v>17</v>
      </c>
      <c r="C2013">
        <v>12</v>
      </c>
      <c r="D2013">
        <v>0.4</v>
      </c>
      <c r="E2013" s="2">
        <f>C2013*D2013 / 100</f>
        <v>4.8000000000000008E-2</v>
      </c>
      <c r="F2013">
        <f>IF(F2012 &lt; 7, F2012 +1,1)</f>
        <v>3</v>
      </c>
      <c r="G2013" t="str">
        <f t="shared" si="31"/>
        <v/>
      </c>
    </row>
    <row r="2014" spans="1:7">
      <c r="A2014" s="1">
        <v>50653</v>
      </c>
      <c r="B2014" t="s">
        <v>28</v>
      </c>
      <c r="C2014">
        <v>24.2</v>
      </c>
      <c r="D2014">
        <v>0.7</v>
      </c>
      <c r="E2014" s="2">
        <f>C2014*D2014 / 100</f>
        <v>0.16939999999999997</v>
      </c>
      <c r="F2014">
        <f>IF(F2013 &lt; 7, F2013 +1,1)</f>
        <v>4</v>
      </c>
      <c r="G2014" t="str">
        <f t="shared" si="31"/>
        <v/>
      </c>
    </row>
    <row r="2015" spans="1:7">
      <c r="A2015" s="1">
        <v>50654</v>
      </c>
      <c r="B2015" t="s">
        <v>12</v>
      </c>
      <c r="C2015">
        <v>27.3</v>
      </c>
      <c r="D2015">
        <v>3.7</v>
      </c>
      <c r="E2015" s="2">
        <f>C2015*D2015 / 100</f>
        <v>1.0101</v>
      </c>
      <c r="F2015">
        <f>IF(F2014 &lt; 7, F2014 +1,1)</f>
        <v>5</v>
      </c>
      <c r="G2015" t="str">
        <f t="shared" si="31"/>
        <v/>
      </c>
    </row>
    <row r="2016" spans="1:7">
      <c r="A2016" s="1">
        <v>50655</v>
      </c>
      <c r="B2016" t="s">
        <v>19</v>
      </c>
      <c r="C2016">
        <v>10.7</v>
      </c>
      <c r="D2016">
        <v>0</v>
      </c>
      <c r="E2016" s="2">
        <f>C2016*D2016 / 100</f>
        <v>0</v>
      </c>
      <c r="F2016">
        <f>IF(F2015 &lt; 7, F2015 +1,1)</f>
        <v>6</v>
      </c>
      <c r="G2016" t="str">
        <f t="shared" si="31"/>
        <v/>
      </c>
    </row>
    <row r="2017" spans="1:7">
      <c r="A2017" s="1">
        <v>50656</v>
      </c>
      <c r="B2017" t="s">
        <v>22</v>
      </c>
      <c r="C2017">
        <v>11.1</v>
      </c>
      <c r="D2017">
        <v>0</v>
      </c>
      <c r="E2017" s="2">
        <f>C2017*D2017 / 100</f>
        <v>0</v>
      </c>
      <c r="F2017">
        <f>IF(F2016 &lt; 7, F2016 +1,1)</f>
        <v>7</v>
      </c>
      <c r="G2017">
        <f t="shared" si="31"/>
        <v>123.69999999999999</v>
      </c>
    </row>
    <row r="2018" spans="1:7">
      <c r="A2018" s="1">
        <v>50657</v>
      </c>
      <c r="B2018" t="s">
        <v>16</v>
      </c>
      <c r="C2018">
        <v>28.5</v>
      </c>
      <c r="D2018">
        <v>19.8</v>
      </c>
      <c r="E2018" s="2">
        <f>C2018*D2018 / 100</f>
        <v>5.6430000000000007</v>
      </c>
      <c r="F2018">
        <f>IF(F2017 &lt; 7, F2017 +1,1)</f>
        <v>1</v>
      </c>
      <c r="G2018" t="str">
        <f t="shared" si="31"/>
        <v/>
      </c>
    </row>
    <row r="2019" spans="1:7">
      <c r="A2019" s="1">
        <v>50658</v>
      </c>
      <c r="B2019" t="s">
        <v>36</v>
      </c>
      <c r="C2019">
        <v>10.1</v>
      </c>
      <c r="D2019">
        <v>0</v>
      </c>
      <c r="E2019" s="2">
        <f>C2019*D2019 / 100</f>
        <v>0</v>
      </c>
      <c r="F2019">
        <f>IF(F2018 &lt; 7, F2018 +1,1)</f>
        <v>2</v>
      </c>
      <c r="G2019" t="str">
        <f t="shared" si="31"/>
        <v/>
      </c>
    </row>
    <row r="2020" spans="1:7">
      <c r="A2020" s="1">
        <v>50659</v>
      </c>
      <c r="B2020" t="s">
        <v>26</v>
      </c>
      <c r="C2020">
        <v>20.8</v>
      </c>
      <c r="D2020">
        <v>11.2</v>
      </c>
      <c r="E2020" s="2">
        <f>C2020*D2020 / 100</f>
        <v>2.3295999999999997</v>
      </c>
      <c r="F2020">
        <f>IF(F2019 &lt; 7, F2019 +1,1)</f>
        <v>3</v>
      </c>
      <c r="G2020" t="str">
        <f t="shared" si="31"/>
        <v/>
      </c>
    </row>
    <row r="2021" spans="1:7">
      <c r="A2021" s="1">
        <v>50660</v>
      </c>
      <c r="B2021" t="s">
        <v>16</v>
      </c>
      <c r="C2021">
        <v>16.600000000000001</v>
      </c>
      <c r="D2021">
        <v>0</v>
      </c>
      <c r="E2021" s="2">
        <f>C2021*D2021 / 100</f>
        <v>0</v>
      </c>
      <c r="F2021">
        <f>IF(F2020 &lt; 7, F2020 +1,1)</f>
        <v>4</v>
      </c>
      <c r="G2021" t="str">
        <f t="shared" si="31"/>
        <v/>
      </c>
    </row>
    <row r="2022" spans="1:7">
      <c r="A2022" s="1">
        <v>50661</v>
      </c>
      <c r="B2022" t="s">
        <v>19</v>
      </c>
      <c r="C2022">
        <v>26.4</v>
      </c>
      <c r="D2022">
        <v>10</v>
      </c>
      <c r="E2022" s="2">
        <f>C2022*D2022 / 100</f>
        <v>2.64</v>
      </c>
      <c r="F2022">
        <f>IF(F2021 &lt; 7, F2021 +1,1)</f>
        <v>5</v>
      </c>
      <c r="G2022" t="str">
        <f t="shared" si="31"/>
        <v/>
      </c>
    </row>
    <row r="2023" spans="1:7">
      <c r="A2023" s="1">
        <v>50662</v>
      </c>
      <c r="B2023" t="s">
        <v>24</v>
      </c>
      <c r="C2023">
        <v>15.1</v>
      </c>
      <c r="D2023">
        <v>0</v>
      </c>
      <c r="E2023" s="2">
        <f>C2023*D2023 / 100</f>
        <v>0</v>
      </c>
      <c r="F2023">
        <f>IF(F2022 &lt; 7, F2022 +1,1)</f>
        <v>6</v>
      </c>
      <c r="G2023" t="str">
        <f t="shared" si="31"/>
        <v/>
      </c>
    </row>
    <row r="2024" spans="1:7">
      <c r="A2024" s="1">
        <v>50663</v>
      </c>
      <c r="B2024" t="s">
        <v>30</v>
      </c>
      <c r="C2024">
        <v>20.9</v>
      </c>
      <c r="D2024">
        <v>10.1</v>
      </c>
      <c r="E2024" s="2">
        <f>C2024*D2024 / 100</f>
        <v>2.1108999999999996</v>
      </c>
      <c r="F2024">
        <f>IF(F2023 &lt; 7, F2023 +1,1)</f>
        <v>7</v>
      </c>
      <c r="G2024">
        <f t="shared" si="31"/>
        <v>138.4</v>
      </c>
    </row>
    <row r="2025" spans="1:7">
      <c r="A2025" s="1">
        <v>50664</v>
      </c>
      <c r="B2025" t="s">
        <v>19</v>
      </c>
      <c r="C2025">
        <v>27.3</v>
      </c>
      <c r="D2025">
        <v>5.3</v>
      </c>
      <c r="E2025" s="2">
        <f>C2025*D2025 / 100</f>
        <v>1.4469000000000001</v>
      </c>
      <c r="F2025">
        <f>IF(F2024 &lt; 7, F2024 +1,1)</f>
        <v>1</v>
      </c>
      <c r="G2025" t="str">
        <f t="shared" si="31"/>
        <v/>
      </c>
    </row>
    <row r="2026" spans="1:7">
      <c r="A2026" s="1">
        <v>50665</v>
      </c>
      <c r="B2026" t="s">
        <v>30</v>
      </c>
      <c r="C2026">
        <v>17.600000000000001</v>
      </c>
      <c r="D2026">
        <v>5.5</v>
      </c>
      <c r="E2026" s="2">
        <f>C2026*D2026 / 100</f>
        <v>0.96800000000000008</v>
      </c>
      <c r="F2026">
        <f>IF(F2025 &lt; 7, F2025 +1,1)</f>
        <v>2</v>
      </c>
      <c r="G2026" t="str">
        <f t="shared" si="31"/>
        <v/>
      </c>
    </row>
    <row r="2027" spans="1:7">
      <c r="A2027" s="1">
        <v>50666</v>
      </c>
      <c r="B2027" t="s">
        <v>36</v>
      </c>
      <c r="C2027">
        <v>27.8</v>
      </c>
      <c r="D2027">
        <v>0</v>
      </c>
      <c r="E2027" s="2">
        <f>C2027*D2027 / 100</f>
        <v>0</v>
      </c>
      <c r="F2027">
        <f>IF(F2026 &lt; 7, F2026 +1,1)</f>
        <v>3</v>
      </c>
      <c r="G2027" t="str">
        <f t="shared" si="31"/>
        <v/>
      </c>
    </row>
    <row r="2028" spans="1:7">
      <c r="A2028" s="1">
        <v>50667</v>
      </c>
      <c r="B2028" t="s">
        <v>21</v>
      </c>
      <c r="C2028">
        <v>25.8</v>
      </c>
      <c r="D2028">
        <v>12.1</v>
      </c>
      <c r="E2028" s="2">
        <f>C2028*D2028 / 100</f>
        <v>3.1217999999999999</v>
      </c>
      <c r="F2028">
        <f>IF(F2027 &lt; 7, F2027 +1,1)</f>
        <v>4</v>
      </c>
      <c r="G2028" t="str">
        <f t="shared" si="31"/>
        <v/>
      </c>
    </row>
    <row r="2029" spans="1:7">
      <c r="A2029" s="1">
        <v>50668</v>
      </c>
      <c r="B2029" t="s">
        <v>12</v>
      </c>
      <c r="C2029">
        <v>18.100000000000001</v>
      </c>
      <c r="D2029">
        <v>1.1000000000000001</v>
      </c>
      <c r="E2029" s="2">
        <f>C2029*D2029 / 100</f>
        <v>0.19910000000000003</v>
      </c>
      <c r="F2029">
        <f>IF(F2028 &lt; 7, F2028 +1,1)</f>
        <v>5</v>
      </c>
      <c r="G2029" t="str">
        <f t="shared" si="31"/>
        <v/>
      </c>
    </row>
    <row r="2030" spans="1:7">
      <c r="A2030" s="1">
        <v>50669</v>
      </c>
      <c r="B2030" t="s">
        <v>34</v>
      </c>
      <c r="C2030">
        <v>21.9</v>
      </c>
      <c r="D2030">
        <v>7.7</v>
      </c>
      <c r="E2030" s="2">
        <f>C2030*D2030 / 100</f>
        <v>1.6862999999999999</v>
      </c>
      <c r="F2030">
        <f>IF(F2029 &lt; 7, F2029 +1,1)</f>
        <v>6</v>
      </c>
      <c r="G2030" t="str">
        <f t="shared" si="31"/>
        <v/>
      </c>
    </row>
    <row r="2031" spans="1:7">
      <c r="A2031" s="1">
        <v>50670</v>
      </c>
      <c r="B2031" t="s">
        <v>14</v>
      </c>
      <c r="C2031">
        <v>23.2</v>
      </c>
      <c r="D2031">
        <v>5.0999999999999996</v>
      </c>
      <c r="E2031" s="2">
        <f>C2031*D2031 / 100</f>
        <v>1.1832</v>
      </c>
      <c r="F2031">
        <f>IF(F2030 &lt; 7, F2030 +1,1)</f>
        <v>7</v>
      </c>
      <c r="G2031">
        <f t="shared" si="31"/>
        <v>161.69999999999999</v>
      </c>
    </row>
    <row r="2032" spans="1:7">
      <c r="A2032" s="1">
        <v>50671</v>
      </c>
      <c r="B2032" t="s">
        <v>20</v>
      </c>
      <c r="C2032">
        <v>26.6</v>
      </c>
      <c r="D2032">
        <v>0.3</v>
      </c>
      <c r="E2032" s="2">
        <f>C2032*D2032 / 100</f>
        <v>7.980000000000001E-2</v>
      </c>
      <c r="F2032">
        <f>IF(F2031 &lt; 7, F2031 +1,1)</f>
        <v>1</v>
      </c>
      <c r="G2032" t="str">
        <f t="shared" si="31"/>
        <v/>
      </c>
    </row>
    <row r="2033" spans="1:7">
      <c r="A2033" s="1">
        <v>50672</v>
      </c>
      <c r="B2033" t="s">
        <v>9</v>
      </c>
      <c r="C2033">
        <v>23.2</v>
      </c>
      <c r="D2033">
        <v>0</v>
      </c>
      <c r="E2033" s="2">
        <f>C2033*D2033 / 100</f>
        <v>0</v>
      </c>
      <c r="F2033">
        <f>IF(F2032 &lt; 7, F2032 +1,1)</f>
        <v>2</v>
      </c>
      <c r="G2033" t="str">
        <f t="shared" si="31"/>
        <v/>
      </c>
    </row>
    <row r="2034" spans="1:7">
      <c r="A2034" s="1">
        <v>50673</v>
      </c>
      <c r="B2034" t="s">
        <v>21</v>
      </c>
      <c r="C2034">
        <v>11</v>
      </c>
      <c r="D2034">
        <v>40.9</v>
      </c>
      <c r="E2034" s="2">
        <f>C2034*D2034 / 100</f>
        <v>4.4989999999999997</v>
      </c>
      <c r="F2034">
        <f>IF(F2033 &lt; 7, F2033 +1,1)</f>
        <v>3</v>
      </c>
      <c r="G2034" t="str">
        <f t="shared" si="31"/>
        <v/>
      </c>
    </row>
    <row r="2035" spans="1:7">
      <c r="A2035" s="1">
        <v>50674</v>
      </c>
      <c r="B2035" t="s">
        <v>6</v>
      </c>
      <c r="C2035">
        <v>26.8</v>
      </c>
      <c r="D2035">
        <v>2.2999999999999998</v>
      </c>
      <c r="E2035" s="2">
        <f>C2035*D2035 / 100</f>
        <v>0.61639999999999995</v>
      </c>
      <c r="F2035">
        <f>IF(F2034 &lt; 7, F2034 +1,1)</f>
        <v>4</v>
      </c>
      <c r="G2035" t="str">
        <f t="shared" si="31"/>
        <v/>
      </c>
    </row>
    <row r="2036" spans="1:7">
      <c r="A2036" s="1">
        <v>50675</v>
      </c>
      <c r="B2036" t="s">
        <v>19</v>
      </c>
      <c r="C2036">
        <v>22.2</v>
      </c>
      <c r="D2036">
        <v>0</v>
      </c>
      <c r="E2036" s="2">
        <f>C2036*D2036 / 100</f>
        <v>0</v>
      </c>
      <c r="F2036">
        <f>IF(F2035 &lt; 7, F2035 +1,1)</f>
        <v>5</v>
      </c>
      <c r="G2036" t="str">
        <f t="shared" si="31"/>
        <v/>
      </c>
    </row>
    <row r="2037" spans="1:7">
      <c r="A2037" s="1">
        <v>50676</v>
      </c>
      <c r="B2037" t="s">
        <v>29</v>
      </c>
      <c r="C2037">
        <v>10.199999999999999</v>
      </c>
      <c r="D2037">
        <v>6.1</v>
      </c>
      <c r="E2037" s="2">
        <f>C2037*D2037 / 100</f>
        <v>0.62219999999999986</v>
      </c>
      <c r="F2037">
        <f>IF(F2036 &lt; 7, F2036 +1,1)</f>
        <v>6</v>
      </c>
      <c r="G2037" t="str">
        <f t="shared" si="31"/>
        <v/>
      </c>
    </row>
    <row r="2038" spans="1:7">
      <c r="A2038" s="1">
        <v>50677</v>
      </c>
      <c r="B2038" t="s">
        <v>32</v>
      </c>
      <c r="C2038">
        <v>18.399999999999999</v>
      </c>
      <c r="D2038">
        <v>1.5</v>
      </c>
      <c r="E2038" s="2">
        <f>C2038*D2038 / 100</f>
        <v>0.27599999999999997</v>
      </c>
      <c r="F2038">
        <f>IF(F2037 &lt; 7, F2037 +1,1)</f>
        <v>7</v>
      </c>
      <c r="G2038">
        <f t="shared" si="31"/>
        <v>138.4</v>
      </c>
    </row>
    <row r="2039" spans="1:7">
      <c r="A2039" s="1">
        <v>50678</v>
      </c>
      <c r="B2039" t="s">
        <v>16</v>
      </c>
      <c r="C2039">
        <v>29.4</v>
      </c>
      <c r="D2039">
        <v>22.3</v>
      </c>
      <c r="E2039" s="2">
        <f>C2039*D2039 / 100</f>
        <v>6.5562000000000005</v>
      </c>
      <c r="F2039">
        <f>IF(F2038 &lt; 7, F2038 +1,1)</f>
        <v>1</v>
      </c>
      <c r="G2039" t="str">
        <f t="shared" si="31"/>
        <v/>
      </c>
    </row>
    <row r="2040" spans="1:7">
      <c r="A2040" s="1">
        <v>50679</v>
      </c>
      <c r="B2040" t="s">
        <v>6</v>
      </c>
      <c r="C2040">
        <v>23.4</v>
      </c>
      <c r="D2040">
        <v>0</v>
      </c>
      <c r="E2040" s="2">
        <f>C2040*D2040 / 100</f>
        <v>0</v>
      </c>
      <c r="F2040">
        <f>IF(F2039 &lt; 7, F2039 +1,1)</f>
        <v>2</v>
      </c>
      <c r="G2040" t="str">
        <f t="shared" si="31"/>
        <v/>
      </c>
    </row>
    <row r="2041" spans="1:7">
      <c r="A2041" s="1">
        <v>50680</v>
      </c>
      <c r="B2041" t="s">
        <v>10</v>
      </c>
      <c r="C2041">
        <v>13.6</v>
      </c>
      <c r="D2041">
        <v>6.1</v>
      </c>
      <c r="E2041" s="2">
        <f>C2041*D2041 / 100</f>
        <v>0.82959999999999989</v>
      </c>
      <c r="F2041">
        <f>IF(F2040 &lt; 7, F2040 +1,1)</f>
        <v>3</v>
      </c>
      <c r="G2041" t="str">
        <f t="shared" si="31"/>
        <v/>
      </c>
    </row>
    <row r="2042" spans="1:7">
      <c r="A2042" s="1">
        <v>50681</v>
      </c>
      <c r="B2042" t="s">
        <v>16</v>
      </c>
      <c r="C2042">
        <v>17.7</v>
      </c>
      <c r="D2042">
        <v>1.4</v>
      </c>
      <c r="E2042" s="2">
        <f>C2042*D2042 / 100</f>
        <v>0.24779999999999996</v>
      </c>
      <c r="F2042">
        <f>IF(F2041 &lt; 7, F2041 +1,1)</f>
        <v>4</v>
      </c>
      <c r="G2042" t="str">
        <f t="shared" si="31"/>
        <v/>
      </c>
    </row>
    <row r="2043" spans="1:7">
      <c r="A2043" s="1">
        <v>50682</v>
      </c>
      <c r="B2043" t="s">
        <v>6</v>
      </c>
      <c r="C2043">
        <v>17</v>
      </c>
      <c r="D2043">
        <v>5.9</v>
      </c>
      <c r="E2043" s="2">
        <f>C2043*D2043 / 100</f>
        <v>1.0030000000000001</v>
      </c>
      <c r="F2043">
        <f>IF(F2042 &lt; 7, F2042 +1,1)</f>
        <v>5</v>
      </c>
      <c r="G2043" t="str">
        <f t="shared" si="31"/>
        <v/>
      </c>
    </row>
    <row r="2044" spans="1:7">
      <c r="A2044" s="1">
        <v>50683</v>
      </c>
      <c r="B2044" t="s">
        <v>30</v>
      </c>
      <c r="C2044">
        <v>29.6</v>
      </c>
      <c r="D2044">
        <v>6.6</v>
      </c>
      <c r="E2044" s="2">
        <f>C2044*D2044 / 100</f>
        <v>1.9535999999999998</v>
      </c>
      <c r="F2044">
        <f>IF(F2043 &lt; 7, F2043 +1,1)</f>
        <v>6</v>
      </c>
      <c r="G2044" t="str">
        <f t="shared" si="31"/>
        <v/>
      </c>
    </row>
    <row r="2045" spans="1:7">
      <c r="A2045" s="1">
        <v>50684</v>
      </c>
      <c r="B2045" t="s">
        <v>21</v>
      </c>
      <c r="C2045">
        <v>23.4</v>
      </c>
      <c r="D2045">
        <v>0</v>
      </c>
      <c r="E2045" s="2">
        <f>C2045*D2045 / 100</f>
        <v>0</v>
      </c>
      <c r="F2045">
        <f>IF(F2044 &lt; 7, F2044 +1,1)</f>
        <v>7</v>
      </c>
      <c r="G2045">
        <f t="shared" si="31"/>
        <v>154.1</v>
      </c>
    </row>
    <row r="2046" spans="1:7">
      <c r="A2046" s="1">
        <v>50685</v>
      </c>
      <c r="B2046" t="s">
        <v>16</v>
      </c>
      <c r="C2046">
        <v>21.3</v>
      </c>
      <c r="D2046">
        <v>22.4</v>
      </c>
      <c r="E2046" s="2">
        <f>C2046*D2046 / 100</f>
        <v>4.7712000000000003</v>
      </c>
      <c r="F2046">
        <f>IF(F2045 &lt; 7, F2045 +1,1)</f>
        <v>1</v>
      </c>
      <c r="G2046" t="str">
        <f t="shared" si="31"/>
        <v/>
      </c>
    </row>
    <row r="2047" spans="1:7">
      <c r="A2047" s="1">
        <v>50686</v>
      </c>
      <c r="B2047" t="s">
        <v>36</v>
      </c>
      <c r="C2047">
        <v>18.600000000000001</v>
      </c>
      <c r="D2047">
        <v>0</v>
      </c>
      <c r="E2047" s="2">
        <f>C2047*D2047 / 100</f>
        <v>0</v>
      </c>
      <c r="F2047">
        <f>IF(F2046 &lt; 7, F2046 +1,1)</f>
        <v>2</v>
      </c>
      <c r="G2047" t="str">
        <f t="shared" si="31"/>
        <v/>
      </c>
    </row>
    <row r="2048" spans="1:7">
      <c r="A2048" s="1">
        <v>50687</v>
      </c>
      <c r="B2048" t="s">
        <v>19</v>
      </c>
      <c r="C2048">
        <v>16.8</v>
      </c>
      <c r="D2048">
        <v>2.8</v>
      </c>
      <c r="E2048" s="2">
        <f>C2048*D2048 / 100</f>
        <v>0.47039999999999998</v>
      </c>
      <c r="F2048">
        <f>IF(F2047 &lt; 7, F2047 +1,1)</f>
        <v>3</v>
      </c>
      <c r="G2048" t="str">
        <f t="shared" si="31"/>
        <v/>
      </c>
    </row>
    <row r="2049" spans="1:7">
      <c r="A2049" s="1">
        <v>50688</v>
      </c>
      <c r="B2049" t="s">
        <v>18</v>
      </c>
      <c r="C2049">
        <v>13.2</v>
      </c>
      <c r="D2049">
        <v>4</v>
      </c>
      <c r="E2049" s="2">
        <f>C2049*D2049 / 100</f>
        <v>0.52800000000000002</v>
      </c>
      <c r="F2049">
        <f>IF(F2048 &lt; 7, F2048 +1,1)</f>
        <v>4</v>
      </c>
      <c r="G2049" t="str">
        <f t="shared" si="31"/>
        <v/>
      </c>
    </row>
    <row r="2050" spans="1:7">
      <c r="A2050" s="1">
        <v>50689</v>
      </c>
      <c r="B2050" t="s">
        <v>36</v>
      </c>
      <c r="C2050">
        <v>29.8</v>
      </c>
      <c r="D2050">
        <v>24.9</v>
      </c>
      <c r="E2050" s="2">
        <f>C2050*D2050 / 100</f>
        <v>7.4201999999999995</v>
      </c>
      <c r="F2050">
        <f>IF(F2049 &lt; 7, F2049 +1,1)</f>
        <v>5</v>
      </c>
      <c r="G2050" t="str">
        <f t="shared" si="31"/>
        <v/>
      </c>
    </row>
    <row r="2051" spans="1:7">
      <c r="A2051" s="1">
        <v>50690</v>
      </c>
      <c r="B2051" t="s">
        <v>21</v>
      </c>
      <c r="C2051">
        <v>10.6</v>
      </c>
      <c r="D2051">
        <v>31.8</v>
      </c>
      <c r="E2051" s="2">
        <f>C2051*D2051 / 100</f>
        <v>3.3708</v>
      </c>
      <c r="F2051">
        <f>IF(F2050 &lt; 7, F2050 +1,1)</f>
        <v>6</v>
      </c>
      <c r="G2051" t="str">
        <f t="shared" si="31"/>
        <v/>
      </c>
    </row>
    <row r="2052" spans="1:7">
      <c r="A2052" s="1">
        <v>50691</v>
      </c>
      <c r="B2052" t="s">
        <v>33</v>
      </c>
      <c r="C2052">
        <v>11.9</v>
      </c>
      <c r="D2052">
        <v>12.3</v>
      </c>
      <c r="E2052" s="2">
        <f>C2052*D2052 / 100</f>
        <v>1.4637</v>
      </c>
      <c r="F2052">
        <f>IF(F2051 &lt; 7, F2051 +1,1)</f>
        <v>7</v>
      </c>
      <c r="G2052">
        <f t="shared" si="31"/>
        <v>122.2</v>
      </c>
    </row>
    <row r="2053" spans="1:7">
      <c r="A2053" s="1">
        <v>50692</v>
      </c>
      <c r="B2053" t="s">
        <v>17</v>
      </c>
      <c r="C2053">
        <v>26.8</v>
      </c>
      <c r="D2053">
        <v>0.5</v>
      </c>
      <c r="E2053" s="2">
        <f>C2053*D2053 / 100</f>
        <v>0.13400000000000001</v>
      </c>
      <c r="F2053">
        <f>IF(F2052 &lt; 7, F2052 +1,1)</f>
        <v>1</v>
      </c>
      <c r="G2053" t="str">
        <f t="shared" si="31"/>
        <v/>
      </c>
    </row>
    <row r="2054" spans="1:7">
      <c r="A2054" s="1">
        <v>50693</v>
      </c>
      <c r="B2054" t="s">
        <v>24</v>
      </c>
      <c r="C2054">
        <v>29</v>
      </c>
      <c r="D2054">
        <v>3.5</v>
      </c>
      <c r="E2054" s="2">
        <f>C2054*D2054 / 100</f>
        <v>1.0149999999999999</v>
      </c>
      <c r="F2054">
        <f>IF(F2053 &lt; 7, F2053 +1,1)</f>
        <v>2</v>
      </c>
      <c r="G2054" t="str">
        <f t="shared" si="31"/>
        <v/>
      </c>
    </row>
    <row r="2055" spans="1:7">
      <c r="A2055" s="1">
        <v>50694</v>
      </c>
      <c r="B2055" t="s">
        <v>18</v>
      </c>
      <c r="C2055">
        <v>22.9</v>
      </c>
      <c r="D2055">
        <v>2</v>
      </c>
      <c r="E2055" s="2">
        <f>C2055*D2055 / 100</f>
        <v>0.45799999999999996</v>
      </c>
      <c r="F2055">
        <f>IF(F2054 &lt; 7, F2054 +1,1)</f>
        <v>3</v>
      </c>
      <c r="G2055" t="str">
        <f t="shared" si="31"/>
        <v/>
      </c>
    </row>
    <row r="2056" spans="1:7">
      <c r="A2056" s="1">
        <v>50695</v>
      </c>
      <c r="B2056" t="s">
        <v>28</v>
      </c>
      <c r="C2056">
        <v>27.1</v>
      </c>
      <c r="D2056">
        <v>0</v>
      </c>
      <c r="E2056" s="2">
        <f>C2056*D2056 / 100</f>
        <v>0</v>
      </c>
      <c r="F2056">
        <f>IF(F2055 &lt; 7, F2055 +1,1)</f>
        <v>4</v>
      </c>
      <c r="G2056" t="str">
        <f t="shared" si="31"/>
        <v/>
      </c>
    </row>
    <row r="2057" spans="1:7">
      <c r="A2057" s="1">
        <v>50696</v>
      </c>
      <c r="B2057" t="s">
        <v>21</v>
      </c>
      <c r="C2057">
        <v>11.8</v>
      </c>
      <c r="D2057">
        <v>49</v>
      </c>
      <c r="E2057" s="2">
        <f>C2057*D2057 / 100</f>
        <v>5.782</v>
      </c>
      <c r="F2057">
        <f>IF(F2056 &lt; 7, F2056 +1,1)</f>
        <v>5</v>
      </c>
      <c r="G2057" t="str">
        <f t="shared" ref="G2057:G2073" si="32">IF(F2057=7, SUM(C2051:C2057), "")</f>
        <v/>
      </c>
    </row>
    <row r="2058" spans="1:7">
      <c r="A2058" s="1">
        <v>50697</v>
      </c>
      <c r="B2058" t="s">
        <v>30</v>
      </c>
      <c r="C2058">
        <v>26.6</v>
      </c>
      <c r="D2058">
        <v>0</v>
      </c>
      <c r="E2058" s="2">
        <f>C2058*D2058 / 100</f>
        <v>0</v>
      </c>
      <c r="F2058">
        <f>IF(F2057 &lt; 7, F2057 +1,1)</f>
        <v>6</v>
      </c>
      <c r="G2058" t="str">
        <f t="shared" si="32"/>
        <v/>
      </c>
    </row>
    <row r="2059" spans="1:7">
      <c r="A2059" s="1">
        <v>50698</v>
      </c>
      <c r="B2059" t="s">
        <v>29</v>
      </c>
      <c r="C2059">
        <v>21.3</v>
      </c>
      <c r="D2059">
        <v>0</v>
      </c>
      <c r="E2059" s="2">
        <f>C2059*D2059 / 100</f>
        <v>0</v>
      </c>
      <c r="F2059">
        <f>IF(F2058 &lt; 7, F2058 +1,1)</f>
        <v>7</v>
      </c>
      <c r="G2059">
        <f t="shared" si="32"/>
        <v>165.5</v>
      </c>
    </row>
    <row r="2060" spans="1:7">
      <c r="A2060" s="1">
        <v>50699</v>
      </c>
      <c r="B2060" t="s">
        <v>9</v>
      </c>
      <c r="C2060">
        <v>23.2</v>
      </c>
      <c r="D2060">
        <v>0</v>
      </c>
      <c r="E2060" s="2">
        <f>C2060*D2060 / 100</f>
        <v>0</v>
      </c>
      <c r="F2060">
        <f>IF(F2059 &lt; 7, F2059 +1,1)</f>
        <v>1</v>
      </c>
      <c r="G2060" t="str">
        <f t="shared" si="32"/>
        <v/>
      </c>
    </row>
    <row r="2061" spans="1:7">
      <c r="A2061" s="1">
        <v>50700</v>
      </c>
      <c r="B2061" t="s">
        <v>21</v>
      </c>
      <c r="C2061">
        <v>27.3</v>
      </c>
      <c r="D2061">
        <v>0</v>
      </c>
      <c r="E2061" s="2">
        <f>C2061*D2061 / 100</f>
        <v>0</v>
      </c>
      <c r="F2061">
        <f>IF(F2060 &lt; 7, F2060 +1,1)</f>
        <v>2</v>
      </c>
      <c r="G2061" t="str">
        <f t="shared" si="32"/>
        <v/>
      </c>
    </row>
    <row r="2062" spans="1:7">
      <c r="A2062" s="1">
        <v>50701</v>
      </c>
      <c r="B2062" t="s">
        <v>19</v>
      </c>
      <c r="C2062">
        <v>21.3</v>
      </c>
      <c r="D2062">
        <v>2.6</v>
      </c>
      <c r="E2062" s="2">
        <f>C2062*D2062 / 100</f>
        <v>0.55380000000000007</v>
      </c>
      <c r="F2062">
        <f>IF(F2061 &lt; 7, F2061 +1,1)</f>
        <v>3</v>
      </c>
      <c r="G2062" t="str">
        <f t="shared" si="32"/>
        <v/>
      </c>
    </row>
    <row r="2063" spans="1:7">
      <c r="A2063" s="1">
        <v>50702</v>
      </c>
      <c r="B2063" t="s">
        <v>36</v>
      </c>
      <c r="C2063">
        <v>22.9</v>
      </c>
      <c r="D2063">
        <v>5.3</v>
      </c>
      <c r="E2063" s="2">
        <f>C2063*D2063 / 100</f>
        <v>1.2137</v>
      </c>
      <c r="F2063">
        <f>IF(F2062 &lt; 7, F2062 +1,1)</f>
        <v>4</v>
      </c>
      <c r="G2063" t="str">
        <f t="shared" si="32"/>
        <v/>
      </c>
    </row>
    <row r="2064" spans="1:7">
      <c r="A2064" s="1">
        <v>50703</v>
      </c>
      <c r="B2064" t="s">
        <v>5</v>
      </c>
      <c r="C2064">
        <v>25</v>
      </c>
      <c r="D2064">
        <v>0</v>
      </c>
      <c r="E2064" s="2">
        <f>C2064*D2064 / 100</f>
        <v>0</v>
      </c>
      <c r="F2064">
        <f>IF(F2063 &lt; 7, F2063 +1,1)</f>
        <v>5</v>
      </c>
      <c r="G2064" t="str">
        <f t="shared" si="32"/>
        <v/>
      </c>
    </row>
    <row r="2065" spans="1:7">
      <c r="A2065" s="1">
        <v>50704</v>
      </c>
      <c r="B2065" t="s">
        <v>13</v>
      </c>
      <c r="C2065">
        <v>15.9</v>
      </c>
      <c r="D2065">
        <v>2.5</v>
      </c>
      <c r="E2065" s="2">
        <f>C2065*D2065 / 100</f>
        <v>0.39750000000000002</v>
      </c>
      <c r="F2065">
        <f>IF(F2064 &lt; 7, F2064 +1,1)</f>
        <v>6</v>
      </c>
      <c r="G2065" t="str">
        <f t="shared" si="32"/>
        <v/>
      </c>
    </row>
    <row r="2066" spans="1:7">
      <c r="A2066" s="1">
        <v>50705</v>
      </c>
      <c r="B2066" t="s">
        <v>24</v>
      </c>
      <c r="C2066">
        <v>19.2</v>
      </c>
      <c r="D2066">
        <v>1.3</v>
      </c>
      <c r="E2066" s="2">
        <f>C2066*D2066 / 100</f>
        <v>0.24960000000000002</v>
      </c>
      <c r="F2066">
        <f>IF(F2065 &lt; 7, F2065 +1,1)</f>
        <v>7</v>
      </c>
      <c r="G2066">
        <f t="shared" si="32"/>
        <v>154.79999999999998</v>
      </c>
    </row>
    <row r="2067" spans="1:7">
      <c r="A2067" s="1">
        <v>50706</v>
      </c>
      <c r="B2067" t="s">
        <v>16</v>
      </c>
      <c r="C2067">
        <v>22.5</v>
      </c>
      <c r="D2067">
        <v>10.9</v>
      </c>
      <c r="E2067" s="2">
        <f>C2067*D2067 / 100</f>
        <v>2.4525000000000001</v>
      </c>
      <c r="F2067">
        <f>IF(F2066 &lt; 7, F2066 +1,1)</f>
        <v>1</v>
      </c>
      <c r="G2067" t="str">
        <f t="shared" si="32"/>
        <v/>
      </c>
    </row>
    <row r="2068" spans="1:7">
      <c r="A2068" s="1">
        <v>50707</v>
      </c>
      <c r="B2068" t="s">
        <v>19</v>
      </c>
      <c r="C2068">
        <v>28.7</v>
      </c>
      <c r="D2068">
        <v>13.3</v>
      </c>
      <c r="E2068" s="2">
        <f>C2068*D2068 / 100</f>
        <v>3.8171000000000004</v>
      </c>
      <c r="F2068">
        <f>IF(F2067 &lt; 7, F2067 +1,1)</f>
        <v>2</v>
      </c>
      <c r="G2068" t="str">
        <f t="shared" si="32"/>
        <v/>
      </c>
    </row>
    <row r="2069" spans="1:7">
      <c r="A2069" s="1">
        <v>50708</v>
      </c>
      <c r="B2069" t="s">
        <v>36</v>
      </c>
      <c r="C2069">
        <v>14.6</v>
      </c>
      <c r="D2069">
        <v>29.3</v>
      </c>
      <c r="E2069" s="2">
        <f>C2069*D2069 / 100</f>
        <v>4.2778</v>
      </c>
      <c r="F2069">
        <f>IF(F2068 &lt; 7, F2068 +1,1)</f>
        <v>3</v>
      </c>
      <c r="G2069" t="str">
        <f t="shared" si="32"/>
        <v/>
      </c>
    </row>
    <row r="2070" spans="1:7">
      <c r="A2070" s="1">
        <v>50709</v>
      </c>
      <c r="B2070" t="s">
        <v>29</v>
      </c>
      <c r="C2070">
        <v>12.1</v>
      </c>
      <c r="D2070">
        <v>6.5</v>
      </c>
      <c r="E2070" s="2">
        <f>C2070*D2070 / 100</f>
        <v>0.78649999999999987</v>
      </c>
      <c r="F2070">
        <f>IF(F2069 &lt; 7, F2069 +1,1)</f>
        <v>4</v>
      </c>
      <c r="G2070" t="str">
        <f t="shared" si="32"/>
        <v/>
      </c>
    </row>
    <row r="2071" spans="1:7">
      <c r="A2071" s="1">
        <v>50710</v>
      </c>
      <c r="B2071" t="s">
        <v>36</v>
      </c>
      <c r="C2071">
        <v>20</v>
      </c>
      <c r="D2071">
        <v>26.1</v>
      </c>
      <c r="E2071" s="2">
        <f>C2071*D2071 / 100</f>
        <v>5.22</v>
      </c>
      <c r="F2071">
        <f>IF(F2070 &lt; 7, F2070 +1,1)</f>
        <v>5</v>
      </c>
      <c r="G2071" t="str">
        <f t="shared" si="32"/>
        <v/>
      </c>
    </row>
    <row r="2072" spans="1:7">
      <c r="A2072" s="1">
        <v>50711</v>
      </c>
      <c r="B2072" t="s">
        <v>14</v>
      </c>
      <c r="C2072">
        <v>20.8</v>
      </c>
      <c r="D2072">
        <v>2.5</v>
      </c>
      <c r="E2072" s="2">
        <f>C2072*D2072 / 100</f>
        <v>0.52</v>
      </c>
      <c r="F2072">
        <f>IF(F2071 &lt; 7, F2071 +1,1)</f>
        <v>6</v>
      </c>
      <c r="G2072" t="str">
        <f t="shared" si="32"/>
        <v/>
      </c>
    </row>
    <row r="2073" spans="1:7">
      <c r="A2073" s="1">
        <v>50712</v>
      </c>
      <c r="B2073" t="s">
        <v>16</v>
      </c>
      <c r="C2073">
        <v>26.6</v>
      </c>
      <c r="D2073">
        <v>5.9</v>
      </c>
      <c r="E2073" s="2">
        <f>C2073*D2073 / 100</f>
        <v>1.5694000000000004</v>
      </c>
      <c r="F2073">
        <f>IF(F2072 &lt; 7, F2072 +1,1)</f>
        <v>7</v>
      </c>
      <c r="G2073">
        <f t="shared" si="32"/>
        <v>145.29999999999998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8B0B-0689-4983-B6E6-FE08B83FD8CD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FDE2B3DCC68FB418399E4B7B524F246" ma:contentTypeVersion="13" ma:contentTypeDescription="Utwórz nowy dokument." ma:contentTypeScope="" ma:versionID="07acdd065f5590f6117565b234bf3fec">
  <xsd:schema xmlns:xsd="http://www.w3.org/2001/XMLSchema" xmlns:xs="http://www.w3.org/2001/XMLSchema" xmlns:p="http://schemas.microsoft.com/office/2006/metadata/properties" xmlns:ns2="20d7bca5-8e84-4932-b02c-5efccaa9910c" xmlns:ns3="42cdf4a1-02e3-415d-a578-8981b17c31c4" targetNamespace="http://schemas.microsoft.com/office/2006/metadata/properties" ma:root="true" ma:fieldsID="f45f8b53aa885576bfcab96d86fbaebf" ns2:_="" ns3:_="">
    <xsd:import namespace="20d7bca5-8e84-4932-b02c-5efccaa9910c"/>
    <xsd:import namespace="42cdf4a1-02e3-415d-a578-8981b17c31c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7bca5-8e84-4932-b02c-5efccaa9910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Tagi obrazów" ma:readOnly="false" ma:fieldId="{5cf76f15-5ced-4ddc-b409-7134ff3c332f}" ma:taxonomyMulti="true" ma:sspId="cd4f4057-2ca7-40d2-8d13-94d52310ec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df4a1-02e3-415d-a578-8981b17c31c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8a8445c-8f4b-494d-adbe-229d1a258830}" ma:internalName="TaxCatchAll" ma:showField="CatchAllData" ma:web="42cdf4a1-02e3-415d-a578-8981b17c31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20d7bca5-8e84-4932-b02c-5efccaa9910c" xsi:nil="true"/>
    <lcf76f155ced4ddcb4097134ff3c332f xmlns="20d7bca5-8e84-4932-b02c-5efccaa9910c">
      <Terms xmlns="http://schemas.microsoft.com/office/infopath/2007/PartnerControls"/>
    </lcf76f155ced4ddcb4097134ff3c332f>
    <TaxCatchAll xmlns="42cdf4a1-02e3-415d-a578-8981b17c31c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9BE7C2-9B55-4FEA-84BF-04E1623A1DDA}"/>
</file>

<file path=customXml/itemProps2.xml><?xml version="1.0" encoding="utf-8"?>
<ds:datastoreItem xmlns:ds="http://schemas.openxmlformats.org/officeDocument/2006/customXml" ds:itemID="{8E249112-7538-423B-8F6B-6CF74341E0E7}"/>
</file>

<file path=customXml/itemProps3.xml><?xml version="1.0" encoding="utf-8"?>
<ds:datastoreItem xmlns:ds="http://schemas.openxmlformats.org/officeDocument/2006/customXml" ds:itemID="{24B9BFC6-395C-4096-A9E3-1FCBAF159CAA}"/>
</file>

<file path=customXml/itemProps4.xml><?xml version="1.0" encoding="utf-8"?>
<ds:datastoreItem xmlns:ds="http://schemas.openxmlformats.org/officeDocument/2006/customXml" ds:itemID="{37ECFA51-1E48-43DE-BE32-B82BD5DB0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Piotr, Zastawny</dc:creator>
  <cp:keywords/>
  <dc:description/>
  <cp:lastModifiedBy>Piotr, Zastawny</cp:lastModifiedBy>
  <cp:revision/>
  <dcterms:created xsi:type="dcterms:W3CDTF">2026-02-10T09:24:01Z</dcterms:created>
  <dcterms:modified xsi:type="dcterms:W3CDTF">2026-02-15T14:52:15Z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0x0101003FDE2B3DCC68FB418399E4B7B524F246</vt:lpwstr>
  </property>
  <property fmtid="{D5CDD505-2E9C-101B-9397-08002B2CF9AE}" pid="3" name="Order">
    <vt:r8>4900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